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eSpark-Consultants\robertMeares-VCU-BCU\"/>
    </mc:Choice>
  </mc:AlternateContent>
  <bookViews>
    <workbookView xWindow="0" yWindow="0" windowWidth="28800" windowHeight="12300" tabRatio="500"/>
  </bookViews>
  <sheets>
    <sheet name="CARRIER_BOARD_S2_V2.0" sheetId="1" r:id="rId1"/>
    <sheet name="Modified BOM" sheetId="2" r:id="rId2"/>
  </sheets>
  <definedNames>
    <definedName name="_xlnm._FilterDatabase" localSheetId="0" hidden="1">CARRIER_BOARD_S2_V2.0!$A$1:$R$118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17" i="1" l="1"/>
  <c r="R117" i="1" s="1"/>
  <c r="P117" i="1"/>
  <c r="N117" i="1"/>
  <c r="Q116" i="1"/>
  <c r="R116" i="1" s="1"/>
  <c r="P116" i="1"/>
  <c r="N116" i="1"/>
  <c r="Q115" i="1"/>
  <c r="R115" i="1" s="1"/>
  <c r="P115" i="1"/>
  <c r="N115" i="1"/>
  <c r="Q114" i="1"/>
  <c r="R114" i="1" s="1"/>
  <c r="P114" i="1"/>
  <c r="N114" i="1"/>
  <c r="Q113" i="1"/>
  <c r="R113" i="1" s="1"/>
  <c r="P113" i="1"/>
  <c r="N113" i="1"/>
  <c r="Q112" i="1"/>
  <c r="R112" i="1" s="1"/>
  <c r="P112" i="1"/>
  <c r="N112" i="1"/>
  <c r="Q111" i="1"/>
  <c r="R111" i="1" s="1"/>
  <c r="P111" i="1"/>
  <c r="N111" i="1"/>
  <c r="Q110" i="1"/>
  <c r="R110" i="1" s="1"/>
  <c r="P110" i="1"/>
  <c r="N110" i="1"/>
  <c r="Q109" i="1"/>
  <c r="R109" i="1" s="1"/>
  <c r="P109" i="1"/>
  <c r="N109" i="1"/>
  <c r="R108" i="1"/>
  <c r="Q108" i="1"/>
  <c r="P108" i="1"/>
  <c r="N108" i="1"/>
  <c r="Q107" i="1"/>
  <c r="R107" i="1" s="1"/>
  <c r="P107" i="1"/>
  <c r="N107" i="1"/>
  <c r="Q106" i="1"/>
  <c r="R106" i="1" s="1"/>
  <c r="P106" i="1"/>
  <c r="N106" i="1"/>
  <c r="Q105" i="1"/>
  <c r="R105" i="1" s="1"/>
  <c r="P105" i="1"/>
  <c r="N105" i="1"/>
  <c r="Q104" i="1"/>
  <c r="R104" i="1" s="1"/>
  <c r="P104" i="1"/>
  <c r="N104" i="1"/>
  <c r="R103" i="1"/>
  <c r="Q103" i="1"/>
  <c r="P103" i="1"/>
  <c r="N103" i="1"/>
  <c r="R102" i="1"/>
  <c r="P102" i="1"/>
  <c r="N102" i="1"/>
  <c r="Q101" i="1"/>
  <c r="R101" i="1" s="1"/>
  <c r="P101" i="1"/>
  <c r="N101" i="1"/>
  <c r="Q100" i="1"/>
  <c r="R100" i="1" s="1"/>
  <c r="P100" i="1"/>
  <c r="N100" i="1"/>
  <c r="Q99" i="1"/>
  <c r="R99" i="1" s="1"/>
  <c r="P99" i="1"/>
  <c r="N99" i="1"/>
  <c r="Q98" i="1"/>
  <c r="R98" i="1" s="1"/>
  <c r="P98" i="1"/>
  <c r="N98" i="1"/>
  <c r="R97" i="1"/>
  <c r="Q96" i="1"/>
  <c r="R96" i="1" s="1"/>
  <c r="P96" i="1"/>
  <c r="N96" i="1"/>
  <c r="Q95" i="1"/>
  <c r="R95" i="1" s="1"/>
  <c r="P95" i="1"/>
  <c r="N95" i="1"/>
  <c r="Q94" i="1"/>
  <c r="R94" i="1" s="1"/>
  <c r="P94" i="1"/>
  <c r="N94" i="1"/>
  <c r="Q93" i="1"/>
  <c r="R93" i="1" s="1"/>
  <c r="P93" i="1"/>
  <c r="N93" i="1"/>
  <c r="Q92" i="1"/>
  <c r="R92" i="1" s="1"/>
  <c r="P92" i="1"/>
  <c r="N92" i="1"/>
  <c r="Q91" i="1"/>
  <c r="R91" i="1" s="1"/>
  <c r="P91" i="1"/>
  <c r="N91" i="1"/>
  <c r="Q90" i="1"/>
  <c r="R90" i="1" s="1"/>
  <c r="P90" i="1"/>
  <c r="N90" i="1"/>
  <c r="Q89" i="1"/>
  <c r="R89" i="1" s="1"/>
  <c r="P89" i="1"/>
  <c r="N89" i="1"/>
  <c r="Q88" i="1"/>
  <c r="R88" i="1" s="1"/>
  <c r="P88" i="1"/>
  <c r="N88" i="1"/>
  <c r="Q87" i="1"/>
  <c r="R87" i="1" s="1"/>
  <c r="P87" i="1"/>
  <c r="N87" i="1"/>
  <c r="Q86" i="1"/>
  <c r="R86" i="1" s="1"/>
  <c r="P86" i="1"/>
  <c r="N86" i="1"/>
  <c r="Q85" i="1"/>
  <c r="R85" i="1" s="1"/>
  <c r="P85" i="1"/>
  <c r="N85" i="1"/>
  <c r="Q84" i="1"/>
  <c r="R84" i="1" s="1"/>
  <c r="P84" i="1"/>
  <c r="N84" i="1"/>
  <c r="Q83" i="1"/>
  <c r="R83" i="1" s="1"/>
  <c r="P83" i="1"/>
  <c r="N83" i="1"/>
  <c r="Q82" i="1"/>
  <c r="R82" i="1" s="1"/>
  <c r="P82" i="1"/>
  <c r="N82" i="1"/>
  <c r="Q81" i="1"/>
  <c r="R81" i="1" s="1"/>
  <c r="P81" i="1"/>
  <c r="N81" i="1"/>
  <c r="Q80" i="1"/>
  <c r="R80" i="1" s="1"/>
  <c r="P80" i="1"/>
  <c r="N80" i="1"/>
  <c r="Q79" i="1"/>
  <c r="R79" i="1" s="1"/>
  <c r="P79" i="1"/>
  <c r="N79" i="1"/>
  <c r="Q78" i="1"/>
  <c r="R78" i="1" s="1"/>
  <c r="P78" i="1"/>
  <c r="N78" i="1"/>
  <c r="Q77" i="1"/>
  <c r="R77" i="1" s="1"/>
  <c r="P77" i="1"/>
  <c r="N77" i="1"/>
  <c r="Q76" i="1"/>
  <c r="R76" i="1" s="1"/>
  <c r="P76" i="1"/>
  <c r="N76" i="1"/>
  <c r="Q75" i="1"/>
  <c r="R75" i="1" s="1"/>
  <c r="P75" i="1"/>
  <c r="N75" i="1"/>
  <c r="Q74" i="1"/>
  <c r="R74" i="1" s="1"/>
  <c r="P74" i="1"/>
  <c r="N74" i="1"/>
  <c r="Q73" i="1"/>
  <c r="R73" i="1" s="1"/>
  <c r="P73" i="1"/>
  <c r="N73" i="1"/>
  <c r="Q72" i="1"/>
  <c r="R72" i="1" s="1"/>
  <c r="P72" i="1"/>
  <c r="N72" i="1"/>
  <c r="Q71" i="1"/>
  <c r="R71" i="1" s="1"/>
  <c r="P71" i="1"/>
  <c r="N71" i="1"/>
  <c r="Q70" i="1"/>
  <c r="R70" i="1" s="1"/>
  <c r="P70" i="1"/>
  <c r="N70" i="1"/>
  <c r="Q69" i="1"/>
  <c r="R69" i="1" s="1"/>
  <c r="P69" i="1"/>
  <c r="N69" i="1"/>
  <c r="Q68" i="1"/>
  <c r="R68" i="1" s="1"/>
  <c r="P68" i="1"/>
  <c r="N68" i="1"/>
  <c r="Q67" i="1"/>
  <c r="R67" i="1" s="1"/>
  <c r="P67" i="1"/>
  <c r="N67" i="1"/>
  <c r="Q66" i="1"/>
  <c r="R66" i="1" s="1"/>
  <c r="P66" i="1"/>
  <c r="N66" i="1"/>
  <c r="Q65" i="1"/>
  <c r="R65" i="1" s="1"/>
  <c r="P65" i="1"/>
  <c r="N65" i="1"/>
  <c r="Q64" i="1"/>
  <c r="R64" i="1" s="1"/>
  <c r="P64" i="1"/>
  <c r="N64" i="1"/>
  <c r="Q63" i="1"/>
  <c r="R63" i="1" s="1"/>
  <c r="P63" i="1"/>
  <c r="N63" i="1"/>
  <c r="Q62" i="1"/>
  <c r="R62" i="1" s="1"/>
  <c r="P62" i="1"/>
  <c r="N62" i="1"/>
  <c r="Q61" i="1"/>
  <c r="R61" i="1" s="1"/>
  <c r="P61" i="1"/>
  <c r="N61" i="1"/>
  <c r="Q60" i="1"/>
  <c r="R60" i="1" s="1"/>
  <c r="P60" i="1"/>
  <c r="N60" i="1"/>
  <c r="Q59" i="1"/>
  <c r="R59" i="1" s="1"/>
  <c r="P59" i="1"/>
  <c r="N59" i="1"/>
  <c r="Q58" i="1"/>
  <c r="R58" i="1" s="1"/>
  <c r="P58" i="1"/>
  <c r="N58" i="1"/>
  <c r="Q57" i="1"/>
  <c r="R57" i="1" s="1"/>
  <c r="P57" i="1"/>
  <c r="N57" i="1"/>
  <c r="Q56" i="1"/>
  <c r="R56" i="1" s="1"/>
  <c r="P56" i="1"/>
  <c r="N56" i="1"/>
  <c r="Q55" i="1"/>
  <c r="R55" i="1" s="1"/>
  <c r="P55" i="1"/>
  <c r="N55" i="1"/>
  <c r="Q53" i="1"/>
  <c r="R53" i="1" s="1"/>
  <c r="P53" i="1"/>
  <c r="N53" i="1"/>
  <c r="Q52" i="1"/>
  <c r="R52" i="1" s="1"/>
  <c r="P52" i="1"/>
  <c r="N52" i="1"/>
  <c r="Q51" i="1"/>
  <c r="R51" i="1" s="1"/>
  <c r="P51" i="1"/>
  <c r="N51" i="1"/>
  <c r="Q50" i="1"/>
  <c r="R50" i="1" s="1"/>
  <c r="P50" i="1"/>
  <c r="N50" i="1"/>
  <c r="Q49" i="1"/>
  <c r="R49" i="1" s="1"/>
  <c r="P49" i="1"/>
  <c r="N49" i="1"/>
  <c r="Q48" i="1"/>
  <c r="R48" i="1" s="1"/>
  <c r="P48" i="1"/>
  <c r="N48" i="1"/>
  <c r="Q47" i="1"/>
  <c r="R47" i="1" s="1"/>
  <c r="P47" i="1"/>
  <c r="N47" i="1"/>
  <c r="Q46" i="1"/>
  <c r="R46" i="1" s="1"/>
  <c r="P46" i="1"/>
  <c r="N46" i="1"/>
  <c r="Q45" i="1"/>
  <c r="R45" i="1" s="1"/>
  <c r="P45" i="1"/>
  <c r="N45" i="1"/>
  <c r="Q44" i="1"/>
  <c r="R44" i="1" s="1"/>
  <c r="P44" i="1"/>
  <c r="N44" i="1"/>
  <c r="Q43" i="1"/>
  <c r="R43" i="1" s="1"/>
  <c r="P43" i="1"/>
  <c r="N43" i="1"/>
  <c r="Q42" i="1"/>
  <c r="R42" i="1" s="1"/>
  <c r="P42" i="1"/>
  <c r="N42" i="1"/>
  <c r="O41" i="1"/>
  <c r="Q41" i="1" s="1"/>
  <c r="R41" i="1" s="1"/>
  <c r="N41" i="1"/>
  <c r="Q40" i="1"/>
  <c r="R40" i="1" s="1"/>
  <c r="P40" i="1"/>
  <c r="N40" i="1"/>
  <c r="Q39" i="1"/>
  <c r="R39" i="1" s="1"/>
  <c r="P39" i="1"/>
  <c r="N39" i="1"/>
  <c r="Q38" i="1"/>
  <c r="R38" i="1" s="1"/>
  <c r="P38" i="1"/>
  <c r="N38" i="1"/>
  <c r="Q37" i="1"/>
  <c r="R37" i="1" s="1"/>
  <c r="P37" i="1"/>
  <c r="N37" i="1"/>
  <c r="Q36" i="1"/>
  <c r="R36" i="1" s="1"/>
  <c r="P36" i="1"/>
  <c r="N36" i="1"/>
  <c r="Q35" i="1"/>
  <c r="R35" i="1" s="1"/>
  <c r="P35" i="1"/>
  <c r="N35" i="1"/>
  <c r="Q34" i="1"/>
  <c r="R34" i="1" s="1"/>
  <c r="P34" i="1"/>
  <c r="N34" i="1"/>
  <c r="Q33" i="1"/>
  <c r="R33" i="1" s="1"/>
  <c r="P33" i="1"/>
  <c r="N33" i="1"/>
  <c r="Q32" i="1"/>
  <c r="R32" i="1" s="1"/>
  <c r="P32" i="1"/>
  <c r="N32" i="1"/>
  <c r="Q31" i="1"/>
  <c r="R31" i="1" s="1"/>
  <c r="P31" i="1"/>
  <c r="N31" i="1"/>
  <c r="Q30" i="1"/>
  <c r="R30" i="1" s="1"/>
  <c r="P30" i="1"/>
  <c r="N30" i="1"/>
  <c r="Q29" i="1"/>
  <c r="R29" i="1" s="1"/>
  <c r="P29" i="1"/>
  <c r="N29" i="1"/>
  <c r="Q28" i="1"/>
  <c r="R28" i="1" s="1"/>
  <c r="P28" i="1"/>
  <c r="N28" i="1"/>
  <c r="Q27" i="1"/>
  <c r="R27" i="1" s="1"/>
  <c r="P27" i="1"/>
  <c r="N27" i="1"/>
  <c r="R26" i="1"/>
  <c r="Q26" i="1"/>
  <c r="P26" i="1"/>
  <c r="N26" i="1"/>
  <c r="Q25" i="1"/>
  <c r="R25" i="1" s="1"/>
  <c r="P25" i="1"/>
  <c r="N25" i="1"/>
  <c r="Q24" i="1"/>
  <c r="R24" i="1" s="1"/>
  <c r="P24" i="1"/>
  <c r="N24" i="1"/>
  <c r="Q23" i="1"/>
  <c r="R23" i="1" s="1"/>
  <c r="P23" i="1"/>
  <c r="N23" i="1"/>
  <c r="Q22" i="1"/>
  <c r="R22" i="1" s="1"/>
  <c r="P22" i="1"/>
  <c r="N22" i="1"/>
  <c r="Q21" i="1"/>
  <c r="R21" i="1" s="1"/>
  <c r="P21" i="1"/>
  <c r="N21" i="1"/>
  <c r="Q20" i="1"/>
  <c r="R20" i="1" s="1"/>
  <c r="P20" i="1"/>
  <c r="N20" i="1"/>
  <c r="Q19" i="1"/>
  <c r="R19" i="1" s="1"/>
  <c r="P19" i="1"/>
  <c r="N19" i="1"/>
  <c r="Q18" i="1"/>
  <c r="R18" i="1" s="1"/>
  <c r="P18" i="1"/>
  <c r="N18" i="1"/>
  <c r="Q17" i="1"/>
  <c r="R17" i="1" s="1"/>
  <c r="P17" i="1"/>
  <c r="N17" i="1"/>
  <c r="Q16" i="1"/>
  <c r="R16" i="1" s="1"/>
  <c r="P16" i="1"/>
  <c r="N16" i="1"/>
  <c r="Q15" i="1"/>
  <c r="R15" i="1" s="1"/>
  <c r="P15" i="1"/>
  <c r="N15" i="1"/>
  <c r="Q14" i="1"/>
  <c r="R14" i="1" s="1"/>
  <c r="P14" i="1"/>
  <c r="N14" i="1"/>
  <c r="Q13" i="1"/>
  <c r="R13" i="1" s="1"/>
  <c r="P13" i="1"/>
  <c r="N13" i="1"/>
  <c r="Q12" i="1"/>
  <c r="R12" i="1" s="1"/>
  <c r="P12" i="1"/>
  <c r="N12" i="1"/>
  <c r="Q11" i="1"/>
  <c r="R11" i="1" s="1"/>
  <c r="P11" i="1"/>
  <c r="N11" i="1"/>
  <c r="Q10" i="1"/>
  <c r="R10" i="1" s="1"/>
  <c r="P10" i="1"/>
  <c r="N10" i="1"/>
  <c r="Q9" i="1"/>
  <c r="R9" i="1" s="1"/>
  <c r="P9" i="1"/>
  <c r="N9" i="1"/>
  <c r="Q8" i="1"/>
  <c r="R8" i="1" s="1"/>
  <c r="P8" i="1"/>
  <c r="N8" i="1"/>
  <c r="Q7" i="1"/>
  <c r="R7" i="1" s="1"/>
  <c r="P7" i="1"/>
  <c r="N7" i="1"/>
  <c r="Q6" i="1"/>
  <c r="R6" i="1" s="1"/>
  <c r="P6" i="1"/>
  <c r="N6" i="1"/>
  <c r="Q5" i="1"/>
  <c r="R5" i="1" s="1"/>
  <c r="P5" i="1"/>
  <c r="N5" i="1"/>
  <c r="Q4" i="1"/>
  <c r="R4" i="1" s="1"/>
  <c r="P4" i="1"/>
  <c r="N4" i="1"/>
  <c r="Q3" i="1"/>
  <c r="R3" i="1" s="1"/>
  <c r="P3" i="1"/>
  <c r="N3" i="1"/>
  <c r="Q2" i="1"/>
  <c r="R2" i="1" s="1"/>
  <c r="P2" i="1"/>
  <c r="N2" i="1"/>
  <c r="R1" i="1"/>
  <c r="Q1" i="1"/>
  <c r="P1" i="1"/>
  <c r="N1" i="1"/>
  <c r="N118" i="1" l="1"/>
  <c r="R118" i="1"/>
  <c r="P41" i="1"/>
  <c r="P118" i="1" s="1"/>
</calcChain>
</file>

<file path=xl/sharedStrings.xml><?xml version="1.0" encoding="utf-8"?>
<sst xmlns="http://schemas.openxmlformats.org/spreadsheetml/2006/main" count="934" uniqueCount="512">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</sst>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8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color theme="4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rgb="FFFFC000"/>
        <bgColor rgb="FFCCFF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/>
    <xf numFmtId="0" fontId="0" fillId="2" borderId="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0"/>
  <sheetViews>
    <sheetView tabSelected="1" topLeftCell="A88" zoomScale="85" zoomScaleNormal="85" workbookViewId="0">
      <selection activeCell="G109" sqref="G109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11" width="24.42578125" style="1" customWidth="1"/>
    <col min="12" max="12" width="15.7109375" style="2" customWidth="1"/>
    <col min="13" max="13" width="14.85546875" style="4" customWidth="1"/>
    <col min="14" max="14" width="17.42578125" style="4" customWidth="1"/>
    <col min="15" max="15" width="16.85546875" style="4" customWidth="1"/>
    <col min="16" max="16" width="16.42578125" style="4" customWidth="1"/>
    <col min="17" max="17" width="17" style="4" customWidth="1"/>
    <col min="18" max="18" width="18.140625" style="4" customWidth="1"/>
  </cols>
  <sheetData>
    <row r="1" spans="1:19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43" t="s">
        <v>4</v>
      </c>
      <c r="H1" s="5">
        <v>805</v>
      </c>
      <c r="I1" s="9" t="s">
        <v>5</v>
      </c>
      <c r="J1" s="9" t="s">
        <v>6</v>
      </c>
      <c r="K1" s="9">
        <v>13</v>
      </c>
      <c r="L1" s="10"/>
      <c r="M1" s="11">
        <v>0.31</v>
      </c>
      <c r="N1" s="11">
        <f t="shared" ref="N1:N32" si="0">M1*B1</f>
        <v>0.62</v>
      </c>
      <c r="O1" s="11">
        <v>0.13500000000000001</v>
      </c>
      <c r="P1" s="11">
        <f t="shared" ref="P1:P32" si="1">O1*B1</f>
        <v>0.27</v>
      </c>
      <c r="Q1" s="11">
        <f t="shared" ref="Q1:Q32" si="2">O1*0.4</f>
        <v>5.4000000000000006E-2</v>
      </c>
      <c r="R1" s="11">
        <f t="shared" ref="R1:R32" si="3">Q1*B1</f>
        <v>0.10800000000000001</v>
      </c>
      <c r="S1" t="e">
        <v>#VALUE!</v>
      </c>
    </row>
    <row r="2" spans="1:19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43" t="s">
        <v>10</v>
      </c>
      <c r="H2" s="5">
        <v>603</v>
      </c>
      <c r="I2" s="9" t="s">
        <v>5</v>
      </c>
      <c r="J2" s="12" t="s">
        <v>6</v>
      </c>
      <c r="K2" s="12" t="s">
        <v>11</v>
      </c>
      <c r="L2" s="13"/>
      <c r="M2" s="11">
        <v>0.28999999999999998</v>
      </c>
      <c r="N2" s="11">
        <f t="shared" si="0"/>
        <v>1.45</v>
      </c>
      <c r="O2" s="11">
        <v>7.3999999999999996E-2</v>
      </c>
      <c r="P2" s="11">
        <f t="shared" si="1"/>
        <v>0.37</v>
      </c>
      <c r="Q2" s="11">
        <f t="shared" si="2"/>
        <v>2.9600000000000001E-2</v>
      </c>
      <c r="R2" s="11">
        <f t="shared" si="3"/>
        <v>0.14800000000000002</v>
      </c>
    </row>
    <row r="3" spans="1:19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43" t="s">
        <v>16</v>
      </c>
      <c r="H3" s="5">
        <v>402</v>
      </c>
      <c r="I3" s="9" t="s">
        <v>5</v>
      </c>
      <c r="J3" s="12" t="s">
        <v>6</v>
      </c>
      <c r="K3" s="12">
        <v>19</v>
      </c>
      <c r="L3" s="13"/>
      <c r="M3" s="11">
        <v>0.12</v>
      </c>
      <c r="N3" s="11">
        <f t="shared" si="0"/>
        <v>5.16</v>
      </c>
      <c r="O3" s="11">
        <v>0.22</v>
      </c>
      <c r="P3" s="11">
        <f t="shared" si="1"/>
        <v>9.4600000000000009</v>
      </c>
      <c r="Q3" s="11">
        <f t="shared" si="2"/>
        <v>8.8000000000000009E-2</v>
      </c>
      <c r="R3" s="11">
        <f t="shared" si="3"/>
        <v>3.7840000000000003</v>
      </c>
    </row>
    <row r="4" spans="1:19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43" t="s">
        <v>21</v>
      </c>
      <c r="H4" s="5">
        <v>603</v>
      </c>
      <c r="I4" s="9" t="s">
        <v>5</v>
      </c>
      <c r="J4" s="12" t="s">
        <v>22</v>
      </c>
      <c r="K4" s="12">
        <v>28</v>
      </c>
      <c r="L4" s="13"/>
      <c r="M4" s="11">
        <v>0.21</v>
      </c>
      <c r="N4" s="11">
        <f t="shared" si="0"/>
        <v>0.42</v>
      </c>
      <c r="O4" s="11">
        <v>0.04</v>
      </c>
      <c r="P4" s="11">
        <f t="shared" si="1"/>
        <v>0.08</v>
      </c>
      <c r="Q4" s="11">
        <f t="shared" si="2"/>
        <v>1.6E-2</v>
      </c>
      <c r="R4" s="11">
        <f t="shared" si="3"/>
        <v>3.2000000000000001E-2</v>
      </c>
    </row>
    <row r="5" spans="1:19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43" t="s">
        <v>27</v>
      </c>
      <c r="H5" s="5">
        <v>805</v>
      </c>
      <c r="I5" s="9" t="s">
        <v>5</v>
      </c>
      <c r="J5" s="12" t="s">
        <v>6</v>
      </c>
      <c r="K5" s="12">
        <v>17</v>
      </c>
      <c r="L5" s="13"/>
      <c r="M5" s="11">
        <v>0.59</v>
      </c>
      <c r="N5" s="11">
        <f t="shared" si="0"/>
        <v>1.18</v>
      </c>
      <c r="O5" s="11">
        <v>0.17</v>
      </c>
      <c r="P5" s="11">
        <f t="shared" si="1"/>
        <v>0.34</v>
      </c>
      <c r="Q5" s="11">
        <f t="shared" si="2"/>
        <v>6.8000000000000005E-2</v>
      </c>
      <c r="R5" s="11">
        <f t="shared" si="3"/>
        <v>0.13600000000000001</v>
      </c>
    </row>
    <row r="6" spans="1:19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43" t="s">
        <v>31</v>
      </c>
      <c r="H6" s="5">
        <v>603</v>
      </c>
      <c r="I6" s="9" t="s">
        <v>5</v>
      </c>
      <c r="J6" s="12" t="s">
        <v>6</v>
      </c>
      <c r="K6" s="12">
        <v>16</v>
      </c>
      <c r="L6" s="13"/>
      <c r="M6" s="11">
        <v>0.34</v>
      </c>
      <c r="N6" s="11">
        <f t="shared" si="0"/>
        <v>1.36</v>
      </c>
      <c r="O6" s="11">
        <v>8.8999999999999996E-2</v>
      </c>
      <c r="P6" s="11">
        <f t="shared" si="1"/>
        <v>0.35599999999999998</v>
      </c>
      <c r="Q6" s="11">
        <f t="shared" si="2"/>
        <v>3.56E-2</v>
      </c>
      <c r="R6" s="11">
        <f t="shared" si="3"/>
        <v>0.1424</v>
      </c>
    </row>
    <row r="7" spans="1:19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43" t="s">
        <v>35</v>
      </c>
      <c r="H7" s="5">
        <v>402</v>
      </c>
      <c r="I7" s="9" t="s">
        <v>5</v>
      </c>
      <c r="J7" s="12" t="s">
        <v>6</v>
      </c>
      <c r="K7" s="12">
        <v>24</v>
      </c>
      <c r="L7" s="13"/>
      <c r="M7" s="11">
        <v>0.1</v>
      </c>
      <c r="N7" s="11">
        <f t="shared" si="0"/>
        <v>0.4</v>
      </c>
      <c r="O7" s="11">
        <v>8.0000000000000002E-3</v>
      </c>
      <c r="P7" s="11">
        <f t="shared" si="1"/>
        <v>3.2000000000000001E-2</v>
      </c>
      <c r="Q7" s="11">
        <f t="shared" si="2"/>
        <v>3.2000000000000002E-3</v>
      </c>
      <c r="R7" s="11">
        <f t="shared" si="3"/>
        <v>1.2800000000000001E-2</v>
      </c>
    </row>
    <row r="8" spans="1:19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43" t="s">
        <v>37</v>
      </c>
      <c r="H8" s="5">
        <v>805</v>
      </c>
      <c r="I8" s="9" t="s">
        <v>5</v>
      </c>
      <c r="J8" s="12" t="s">
        <v>6</v>
      </c>
      <c r="K8" s="12">
        <v>28</v>
      </c>
      <c r="L8" s="13"/>
      <c r="M8" s="11">
        <v>0.1</v>
      </c>
      <c r="N8" s="11">
        <f t="shared" si="0"/>
        <v>0.1</v>
      </c>
      <c r="O8" s="11">
        <v>1.4999999999999999E-2</v>
      </c>
      <c r="P8" s="11">
        <f t="shared" si="1"/>
        <v>1.4999999999999999E-2</v>
      </c>
      <c r="Q8" s="11">
        <f t="shared" si="2"/>
        <v>6.0000000000000001E-3</v>
      </c>
      <c r="R8" s="11">
        <f t="shared" si="3"/>
        <v>6.0000000000000001E-3</v>
      </c>
    </row>
    <row r="9" spans="1:19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43" t="s">
        <v>41</v>
      </c>
      <c r="H9" s="5">
        <v>1206</v>
      </c>
      <c r="I9" s="9" t="s">
        <v>5</v>
      </c>
      <c r="J9" s="12" t="s">
        <v>6</v>
      </c>
      <c r="K9" s="12">
        <v>28</v>
      </c>
      <c r="L9" s="13"/>
      <c r="M9" s="11">
        <v>0.3</v>
      </c>
      <c r="N9" s="11">
        <f t="shared" si="0"/>
        <v>0.89999999999999991</v>
      </c>
      <c r="O9" s="11">
        <v>0.08</v>
      </c>
      <c r="P9" s="11">
        <f t="shared" si="1"/>
        <v>0.24</v>
      </c>
      <c r="Q9" s="11">
        <f t="shared" si="2"/>
        <v>3.2000000000000001E-2</v>
      </c>
      <c r="R9" s="11">
        <f t="shared" si="3"/>
        <v>9.6000000000000002E-2</v>
      </c>
    </row>
    <row r="10" spans="1:19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43" t="s">
        <v>45</v>
      </c>
      <c r="H10" s="5">
        <v>1210</v>
      </c>
      <c r="I10" s="9" t="s">
        <v>5</v>
      </c>
      <c r="J10" s="12" t="s">
        <v>6</v>
      </c>
      <c r="K10" s="12">
        <v>9</v>
      </c>
      <c r="L10" s="13" t="s">
        <v>46</v>
      </c>
      <c r="M10" s="11">
        <v>0.68</v>
      </c>
      <c r="N10" s="11">
        <f t="shared" si="0"/>
        <v>4.7600000000000007</v>
      </c>
      <c r="O10" s="11">
        <v>0.216</v>
      </c>
      <c r="P10" s="11">
        <f t="shared" si="1"/>
        <v>1.512</v>
      </c>
      <c r="Q10" s="11">
        <f t="shared" si="2"/>
        <v>8.6400000000000005E-2</v>
      </c>
      <c r="R10" s="11">
        <f t="shared" si="3"/>
        <v>0.6048</v>
      </c>
    </row>
    <row r="11" spans="1:19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43" t="s">
        <v>50</v>
      </c>
      <c r="H11" s="5">
        <v>1210</v>
      </c>
      <c r="I11" s="9" t="s">
        <v>5</v>
      </c>
      <c r="J11" s="12" t="s">
        <v>6</v>
      </c>
      <c r="K11" s="12">
        <v>22</v>
      </c>
      <c r="L11" s="13"/>
      <c r="M11" s="11">
        <v>1.6</v>
      </c>
      <c r="N11" s="11">
        <f t="shared" si="0"/>
        <v>3.2</v>
      </c>
      <c r="O11" s="11">
        <v>0.61299999999999999</v>
      </c>
      <c r="P11" s="11">
        <f t="shared" si="1"/>
        <v>1.226</v>
      </c>
      <c r="Q11" s="11">
        <f t="shared" si="2"/>
        <v>0.2452</v>
      </c>
      <c r="R11" s="11">
        <f t="shared" si="3"/>
        <v>0.4904</v>
      </c>
    </row>
    <row r="12" spans="1:19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43" t="s">
        <v>53</v>
      </c>
      <c r="H12" s="5">
        <v>1206</v>
      </c>
      <c r="I12" s="9" t="s">
        <v>5</v>
      </c>
      <c r="J12" s="12" t="s">
        <v>6</v>
      </c>
      <c r="K12" s="12">
        <v>18</v>
      </c>
      <c r="L12" s="13"/>
      <c r="M12" s="11">
        <v>1.03</v>
      </c>
      <c r="N12" s="11">
        <f t="shared" si="0"/>
        <v>1.03</v>
      </c>
      <c r="O12" s="11">
        <v>0.37</v>
      </c>
      <c r="P12" s="11">
        <f t="shared" si="1"/>
        <v>0.37</v>
      </c>
      <c r="Q12" s="11">
        <f t="shared" si="2"/>
        <v>0.14799999999999999</v>
      </c>
      <c r="R12" s="11">
        <f t="shared" si="3"/>
        <v>0.14799999999999999</v>
      </c>
    </row>
    <row r="13" spans="1:19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43" t="s">
        <v>57</v>
      </c>
      <c r="H13" s="5">
        <v>402</v>
      </c>
      <c r="I13" s="9" t="s">
        <v>5</v>
      </c>
      <c r="J13" s="12" t="s">
        <v>6</v>
      </c>
      <c r="K13" s="12">
        <v>21</v>
      </c>
      <c r="L13" s="13"/>
      <c r="M13" s="11">
        <v>0.47</v>
      </c>
      <c r="N13" s="11">
        <f t="shared" si="0"/>
        <v>0.94</v>
      </c>
      <c r="O13" s="11">
        <v>0.123</v>
      </c>
      <c r="P13" s="11">
        <f t="shared" si="1"/>
        <v>0.246</v>
      </c>
      <c r="Q13" s="11">
        <f t="shared" si="2"/>
        <v>4.9200000000000001E-2</v>
      </c>
      <c r="R13" s="11">
        <f t="shared" si="3"/>
        <v>9.8400000000000001E-2</v>
      </c>
    </row>
    <row r="14" spans="1:19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43" t="s">
        <v>60</v>
      </c>
      <c r="H14" s="5">
        <v>603</v>
      </c>
      <c r="I14" s="9" t="s">
        <v>5</v>
      </c>
      <c r="J14" s="12" t="s">
        <v>6</v>
      </c>
      <c r="K14" s="12">
        <v>22</v>
      </c>
      <c r="L14" s="13"/>
      <c r="M14" s="11">
        <v>0.2</v>
      </c>
      <c r="N14" s="11">
        <f t="shared" si="0"/>
        <v>0.8</v>
      </c>
      <c r="O14" s="11">
        <v>4.2000000000000003E-2</v>
      </c>
      <c r="P14" s="11">
        <f t="shared" si="1"/>
        <v>0.16800000000000001</v>
      </c>
      <c r="Q14" s="11">
        <f t="shared" si="2"/>
        <v>1.6800000000000002E-2</v>
      </c>
      <c r="R14" s="11">
        <f t="shared" si="3"/>
        <v>6.720000000000001E-2</v>
      </c>
    </row>
    <row r="15" spans="1:19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43" t="s">
        <v>64</v>
      </c>
      <c r="H15" s="5">
        <v>603</v>
      </c>
      <c r="I15" s="9" t="s">
        <v>5</v>
      </c>
      <c r="J15" s="12" t="s">
        <v>6</v>
      </c>
      <c r="K15" s="12">
        <v>35</v>
      </c>
      <c r="L15" s="13"/>
      <c r="M15" s="11">
        <v>0.12</v>
      </c>
      <c r="N15" s="11">
        <f t="shared" si="0"/>
        <v>0.24</v>
      </c>
      <c r="O15" s="11">
        <v>2.3E-2</v>
      </c>
      <c r="P15" s="11">
        <f t="shared" si="1"/>
        <v>4.5999999999999999E-2</v>
      </c>
      <c r="Q15" s="11">
        <f t="shared" si="2"/>
        <v>9.1999999999999998E-3</v>
      </c>
      <c r="R15" s="11">
        <f t="shared" si="3"/>
        <v>1.84E-2</v>
      </c>
    </row>
    <row r="16" spans="1:19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43" t="s">
        <v>67</v>
      </c>
      <c r="H16" s="5">
        <v>1206</v>
      </c>
      <c r="I16" s="9" t="s">
        <v>5</v>
      </c>
      <c r="J16" s="12" t="s">
        <v>6</v>
      </c>
      <c r="K16" s="12">
        <v>28</v>
      </c>
      <c r="L16" s="13"/>
      <c r="M16" s="11">
        <v>0.35</v>
      </c>
      <c r="N16" s="11">
        <f t="shared" si="0"/>
        <v>0.35</v>
      </c>
      <c r="O16" s="11">
        <v>0.1</v>
      </c>
      <c r="P16" s="11">
        <f t="shared" si="1"/>
        <v>0.1</v>
      </c>
      <c r="Q16" s="11">
        <f t="shared" si="2"/>
        <v>4.0000000000000008E-2</v>
      </c>
      <c r="R16" s="11">
        <f t="shared" si="3"/>
        <v>4.0000000000000008E-2</v>
      </c>
    </row>
    <row r="17" spans="1:18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43" t="s">
        <v>71</v>
      </c>
      <c r="H17" s="5">
        <v>603</v>
      </c>
      <c r="I17" s="9" t="s">
        <v>5</v>
      </c>
      <c r="J17" s="12" t="s">
        <v>22</v>
      </c>
      <c r="K17" s="12">
        <v>19</v>
      </c>
      <c r="L17" s="13" t="s">
        <v>68</v>
      </c>
      <c r="M17" s="11">
        <v>0.18</v>
      </c>
      <c r="N17" s="11">
        <f t="shared" si="0"/>
        <v>1.44</v>
      </c>
      <c r="O17" s="11">
        <v>3.9E-2</v>
      </c>
      <c r="P17" s="11">
        <f t="shared" si="1"/>
        <v>0.312</v>
      </c>
      <c r="Q17" s="11">
        <f t="shared" si="2"/>
        <v>1.5600000000000001E-2</v>
      </c>
      <c r="R17" s="11">
        <f t="shared" si="3"/>
        <v>0.12480000000000001</v>
      </c>
    </row>
    <row r="18" spans="1:18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43" t="s">
        <v>74</v>
      </c>
      <c r="H18" s="5">
        <v>1210</v>
      </c>
      <c r="I18" s="9" t="s">
        <v>5</v>
      </c>
      <c r="J18" s="12" t="s">
        <v>6</v>
      </c>
      <c r="K18" s="12">
        <v>8</v>
      </c>
      <c r="L18" s="13"/>
      <c r="M18" s="11">
        <v>0.71</v>
      </c>
      <c r="N18" s="11">
        <f t="shared" si="0"/>
        <v>2.84</v>
      </c>
      <c r="O18" s="11">
        <v>0.19</v>
      </c>
      <c r="P18" s="11">
        <f t="shared" si="1"/>
        <v>0.76</v>
      </c>
      <c r="Q18" s="11">
        <f t="shared" si="2"/>
        <v>7.6000000000000012E-2</v>
      </c>
      <c r="R18" s="11">
        <f t="shared" si="3"/>
        <v>0.30400000000000005</v>
      </c>
    </row>
    <row r="19" spans="1:18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43" t="s">
        <v>77</v>
      </c>
      <c r="H19" s="5">
        <v>603</v>
      </c>
      <c r="I19" s="9" t="s">
        <v>5</v>
      </c>
      <c r="J19" s="12" t="s">
        <v>6</v>
      </c>
      <c r="K19" s="12">
        <v>19</v>
      </c>
      <c r="L19" s="13"/>
      <c r="M19" s="11">
        <v>0.28000000000000003</v>
      </c>
      <c r="N19" s="11">
        <f t="shared" si="0"/>
        <v>1.9600000000000002</v>
      </c>
      <c r="O19" s="11">
        <v>0.56999999999999995</v>
      </c>
      <c r="P19" s="11">
        <f t="shared" si="1"/>
        <v>3.9899999999999998</v>
      </c>
      <c r="Q19" s="11">
        <f t="shared" si="2"/>
        <v>0.22799999999999998</v>
      </c>
      <c r="R19" s="11">
        <f t="shared" si="3"/>
        <v>1.5959999999999999</v>
      </c>
    </row>
    <row r="20" spans="1:18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43" t="s">
        <v>81</v>
      </c>
      <c r="H20" s="5">
        <v>1206</v>
      </c>
      <c r="I20" s="9" t="s">
        <v>5</v>
      </c>
      <c r="J20" s="12" t="s">
        <v>6</v>
      </c>
      <c r="K20" s="12">
        <v>11</v>
      </c>
      <c r="L20" s="13"/>
      <c r="M20" s="11">
        <v>0.28999999999999998</v>
      </c>
      <c r="N20" s="11">
        <f t="shared" si="0"/>
        <v>0.28999999999999998</v>
      </c>
      <c r="O20" s="11">
        <v>0.06</v>
      </c>
      <c r="P20" s="11">
        <f t="shared" si="1"/>
        <v>0.06</v>
      </c>
      <c r="Q20" s="11">
        <f t="shared" si="2"/>
        <v>2.4E-2</v>
      </c>
      <c r="R20" s="11">
        <f t="shared" si="3"/>
        <v>2.4E-2</v>
      </c>
    </row>
    <row r="21" spans="1:18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43" t="s">
        <v>85</v>
      </c>
      <c r="H21" s="5" t="s">
        <v>86</v>
      </c>
      <c r="I21" s="9" t="s">
        <v>5</v>
      </c>
      <c r="J21" s="12" t="s">
        <v>6</v>
      </c>
      <c r="K21" s="12">
        <v>29</v>
      </c>
      <c r="L21" s="13" t="s">
        <v>82</v>
      </c>
      <c r="M21" s="11">
        <v>0.62</v>
      </c>
      <c r="N21" s="11">
        <f t="shared" si="0"/>
        <v>0.62</v>
      </c>
      <c r="O21" s="11">
        <v>0.41</v>
      </c>
      <c r="P21" s="11">
        <f t="shared" si="1"/>
        <v>0.41</v>
      </c>
      <c r="Q21" s="11">
        <f t="shared" si="2"/>
        <v>0.16400000000000001</v>
      </c>
      <c r="R21" s="11">
        <f t="shared" si="3"/>
        <v>0.16400000000000001</v>
      </c>
    </row>
    <row r="22" spans="1:18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43" t="s">
        <v>89</v>
      </c>
      <c r="H22" s="5">
        <v>1206</v>
      </c>
      <c r="I22" s="9" t="s">
        <v>5</v>
      </c>
      <c r="J22" s="12" t="s">
        <v>6</v>
      </c>
      <c r="K22" s="12">
        <v>24</v>
      </c>
      <c r="L22" s="13"/>
      <c r="M22" s="11">
        <v>0.7</v>
      </c>
      <c r="N22" s="11">
        <f t="shared" si="0"/>
        <v>1.4</v>
      </c>
      <c r="O22" s="11">
        <v>0.25</v>
      </c>
      <c r="P22" s="11">
        <f t="shared" si="1"/>
        <v>0.5</v>
      </c>
      <c r="Q22" s="11">
        <f t="shared" si="2"/>
        <v>0.1</v>
      </c>
      <c r="R22" s="11">
        <f t="shared" si="3"/>
        <v>0.2</v>
      </c>
    </row>
    <row r="23" spans="1:18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43" t="s">
        <v>92</v>
      </c>
      <c r="H23" s="5">
        <v>603</v>
      </c>
      <c r="I23" s="9" t="s">
        <v>5</v>
      </c>
      <c r="J23" s="12" t="s">
        <v>6</v>
      </c>
      <c r="K23" s="12">
        <v>21</v>
      </c>
      <c r="L23" s="13"/>
      <c r="M23" s="11">
        <v>0.2</v>
      </c>
      <c r="N23" s="11">
        <f t="shared" si="0"/>
        <v>0.4</v>
      </c>
      <c r="O23" s="11">
        <v>0.04</v>
      </c>
      <c r="P23" s="11">
        <f t="shared" si="1"/>
        <v>0.08</v>
      </c>
      <c r="Q23" s="11">
        <f t="shared" si="2"/>
        <v>1.6E-2</v>
      </c>
      <c r="R23" s="11">
        <f t="shared" si="3"/>
        <v>3.2000000000000001E-2</v>
      </c>
    </row>
    <row r="24" spans="1:18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43" t="s">
        <v>16</v>
      </c>
      <c r="H24" s="5">
        <v>402</v>
      </c>
      <c r="I24" s="9" t="s">
        <v>5</v>
      </c>
      <c r="J24" s="5" t="s">
        <v>6</v>
      </c>
      <c r="K24" s="5">
        <v>19</v>
      </c>
      <c r="L24" s="8" t="s">
        <v>93</v>
      </c>
      <c r="M24" s="11">
        <v>0.12</v>
      </c>
      <c r="N24" s="11">
        <f t="shared" si="0"/>
        <v>0.36</v>
      </c>
      <c r="O24" s="11">
        <v>2.1999999999999999E-2</v>
      </c>
      <c r="P24" s="11">
        <f t="shared" si="1"/>
        <v>6.6000000000000003E-2</v>
      </c>
      <c r="Q24" s="11">
        <f t="shared" si="2"/>
        <v>8.8000000000000005E-3</v>
      </c>
      <c r="R24" s="11">
        <f t="shared" si="3"/>
        <v>2.64E-2</v>
      </c>
    </row>
    <row r="25" spans="1:18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43" t="s">
        <v>98</v>
      </c>
      <c r="H25" s="5">
        <v>603</v>
      </c>
      <c r="I25" s="9" t="s">
        <v>5</v>
      </c>
      <c r="J25" s="12" t="s">
        <v>6</v>
      </c>
      <c r="K25" s="12">
        <v>16</v>
      </c>
      <c r="L25" s="13"/>
      <c r="M25" s="11">
        <v>0.24</v>
      </c>
      <c r="N25" s="11">
        <f t="shared" si="0"/>
        <v>0.48</v>
      </c>
      <c r="O25" s="11">
        <v>0.05</v>
      </c>
      <c r="P25" s="11">
        <f t="shared" si="1"/>
        <v>0.1</v>
      </c>
      <c r="Q25" s="11">
        <f t="shared" si="2"/>
        <v>2.0000000000000004E-2</v>
      </c>
      <c r="R25" s="11">
        <f t="shared" si="3"/>
        <v>4.0000000000000008E-2</v>
      </c>
    </row>
    <row r="26" spans="1:18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43" t="s">
        <v>102</v>
      </c>
      <c r="H26" s="5">
        <v>603</v>
      </c>
      <c r="I26" s="9" t="s">
        <v>5</v>
      </c>
      <c r="J26" s="12" t="s">
        <v>6</v>
      </c>
      <c r="K26" s="12">
        <v>27</v>
      </c>
      <c r="L26" s="13"/>
      <c r="M26" s="11">
        <v>0.19</v>
      </c>
      <c r="N26" s="11">
        <f t="shared" si="0"/>
        <v>0.38</v>
      </c>
      <c r="O26" s="11">
        <v>0.4</v>
      </c>
      <c r="P26" s="11">
        <f t="shared" si="1"/>
        <v>0.8</v>
      </c>
      <c r="Q26" s="11">
        <f t="shared" si="2"/>
        <v>0.16000000000000003</v>
      </c>
      <c r="R26" s="11">
        <f t="shared" si="3"/>
        <v>0.32000000000000006</v>
      </c>
    </row>
    <row r="27" spans="1:18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43" t="s">
        <v>41</v>
      </c>
      <c r="H27" s="5">
        <v>1206</v>
      </c>
      <c r="I27" s="9" t="s">
        <v>5</v>
      </c>
      <c r="J27" s="12" t="s">
        <v>6</v>
      </c>
      <c r="K27" s="12">
        <v>28</v>
      </c>
      <c r="L27" s="13"/>
      <c r="M27" s="11">
        <v>0.34</v>
      </c>
      <c r="N27" s="11">
        <f t="shared" si="0"/>
        <v>1.02</v>
      </c>
      <c r="O27" s="11">
        <v>0.08</v>
      </c>
      <c r="P27" s="11">
        <f t="shared" si="1"/>
        <v>0.24</v>
      </c>
      <c r="Q27" s="11">
        <f t="shared" si="2"/>
        <v>3.2000000000000001E-2</v>
      </c>
      <c r="R27" s="11">
        <f t="shared" si="3"/>
        <v>9.6000000000000002E-2</v>
      </c>
    </row>
    <row r="28" spans="1:18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43" t="s">
        <v>107</v>
      </c>
      <c r="H28" s="5">
        <v>402</v>
      </c>
      <c r="I28" s="9" t="s">
        <v>5</v>
      </c>
      <c r="J28" s="12" t="s">
        <v>6</v>
      </c>
      <c r="K28" s="12">
        <v>15</v>
      </c>
      <c r="L28" s="13"/>
      <c r="M28" s="11">
        <v>0.24</v>
      </c>
      <c r="N28" s="11">
        <f t="shared" si="0"/>
        <v>0.24</v>
      </c>
      <c r="O28" s="11">
        <v>5.6000000000000001E-2</v>
      </c>
      <c r="P28" s="11">
        <f t="shared" si="1"/>
        <v>5.6000000000000001E-2</v>
      </c>
      <c r="Q28" s="11">
        <f t="shared" si="2"/>
        <v>2.2400000000000003E-2</v>
      </c>
      <c r="R28" s="11">
        <f t="shared" si="3"/>
        <v>2.2400000000000003E-2</v>
      </c>
    </row>
    <row r="29" spans="1:18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43" t="s">
        <v>112</v>
      </c>
      <c r="H29" s="5">
        <v>402</v>
      </c>
      <c r="I29" s="9" t="s">
        <v>5</v>
      </c>
      <c r="J29" s="12" t="s">
        <v>6</v>
      </c>
      <c r="K29" s="12">
        <v>14</v>
      </c>
      <c r="L29" s="13"/>
      <c r="M29" s="11">
        <v>0.26</v>
      </c>
      <c r="N29" s="11">
        <f t="shared" si="0"/>
        <v>0.26</v>
      </c>
      <c r="O29" s="11">
        <v>5.5E-2</v>
      </c>
      <c r="P29" s="11">
        <f t="shared" si="1"/>
        <v>5.5E-2</v>
      </c>
      <c r="Q29" s="11">
        <f t="shared" si="2"/>
        <v>2.2000000000000002E-2</v>
      </c>
      <c r="R29" s="11">
        <f t="shared" si="3"/>
        <v>2.2000000000000002E-2</v>
      </c>
    </row>
    <row r="30" spans="1:18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43" t="s">
        <v>107</v>
      </c>
      <c r="H30" s="5">
        <v>402</v>
      </c>
      <c r="I30" s="9" t="s">
        <v>5</v>
      </c>
      <c r="J30" s="12" t="s">
        <v>6</v>
      </c>
      <c r="K30" s="12">
        <v>15</v>
      </c>
      <c r="L30" s="13" t="s">
        <v>113</v>
      </c>
      <c r="M30" s="11">
        <v>0.24</v>
      </c>
      <c r="N30" s="11">
        <f t="shared" si="0"/>
        <v>0.48</v>
      </c>
      <c r="O30" s="11">
        <v>0.56000000000000005</v>
      </c>
      <c r="P30" s="11">
        <f t="shared" si="1"/>
        <v>1.1200000000000001</v>
      </c>
      <c r="Q30" s="11">
        <f t="shared" si="2"/>
        <v>0.22400000000000003</v>
      </c>
      <c r="R30" s="11">
        <f t="shared" si="3"/>
        <v>0.44800000000000006</v>
      </c>
    </row>
    <row r="31" spans="1:18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43" t="s">
        <v>118</v>
      </c>
      <c r="H31" s="5">
        <v>402</v>
      </c>
      <c r="I31" s="9" t="s">
        <v>5</v>
      </c>
      <c r="J31" s="5" t="s">
        <v>6</v>
      </c>
      <c r="K31" s="5">
        <v>15</v>
      </c>
      <c r="L31" s="8" t="s">
        <v>115</v>
      </c>
      <c r="M31" s="11">
        <v>0.1</v>
      </c>
      <c r="N31" s="11">
        <f t="shared" si="0"/>
        <v>0.2</v>
      </c>
      <c r="O31" s="11">
        <v>0.01</v>
      </c>
      <c r="P31" s="11">
        <f t="shared" si="1"/>
        <v>0.02</v>
      </c>
      <c r="Q31" s="11">
        <f t="shared" si="2"/>
        <v>4.0000000000000001E-3</v>
      </c>
      <c r="R31" s="11">
        <f t="shared" si="3"/>
        <v>8.0000000000000002E-3</v>
      </c>
    </row>
    <row r="32" spans="1:18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43" t="s">
        <v>122</v>
      </c>
      <c r="H32" s="5">
        <v>603</v>
      </c>
      <c r="I32" s="9" t="s">
        <v>5</v>
      </c>
      <c r="J32" s="12" t="s">
        <v>6</v>
      </c>
      <c r="K32" s="12">
        <v>28</v>
      </c>
      <c r="L32" s="13"/>
      <c r="M32" s="11">
        <v>0.1</v>
      </c>
      <c r="N32" s="11">
        <f t="shared" si="0"/>
        <v>0.1</v>
      </c>
      <c r="O32" s="11">
        <v>8.0000000000000002E-3</v>
      </c>
      <c r="P32" s="11">
        <f t="shared" si="1"/>
        <v>8.0000000000000002E-3</v>
      </c>
      <c r="Q32" s="11">
        <f t="shared" si="2"/>
        <v>3.2000000000000002E-3</v>
      </c>
      <c r="R32" s="11">
        <f t="shared" si="3"/>
        <v>3.2000000000000002E-3</v>
      </c>
    </row>
    <row r="33" spans="1:20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43" t="s">
        <v>126</v>
      </c>
      <c r="H33" s="5">
        <v>603</v>
      </c>
      <c r="I33" s="9" t="s">
        <v>5</v>
      </c>
      <c r="J33" s="12" t="s">
        <v>6</v>
      </c>
      <c r="K33" s="12">
        <v>23</v>
      </c>
      <c r="L33" s="13"/>
      <c r="M33" s="11">
        <v>0.15</v>
      </c>
      <c r="N33" s="11">
        <f t="shared" ref="N33:N53" si="4">M33*B33</f>
        <v>1.05</v>
      </c>
      <c r="O33" s="11">
        <v>2.8000000000000001E-2</v>
      </c>
      <c r="P33" s="11">
        <f t="shared" ref="P33:P53" si="5">O33*B33</f>
        <v>0.19600000000000001</v>
      </c>
      <c r="Q33" s="11">
        <f t="shared" ref="Q33:Q53" si="6">O33*0.4</f>
        <v>1.1200000000000002E-2</v>
      </c>
      <c r="R33" s="11">
        <f t="shared" ref="R33:R53" si="7">Q33*B33</f>
        <v>7.8400000000000011E-2</v>
      </c>
    </row>
    <row r="34" spans="1:20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43" t="s">
        <v>131</v>
      </c>
      <c r="H34" s="5" t="s">
        <v>132</v>
      </c>
      <c r="I34" s="12" t="s">
        <v>133</v>
      </c>
      <c r="J34" s="12" t="s">
        <v>6</v>
      </c>
      <c r="K34" s="12">
        <v>26</v>
      </c>
      <c r="L34" s="13"/>
      <c r="M34" s="11">
        <v>0.42</v>
      </c>
      <c r="N34" s="11">
        <f t="shared" si="4"/>
        <v>1.68</v>
      </c>
      <c r="O34" s="11">
        <v>0.1</v>
      </c>
      <c r="P34" s="11">
        <f t="shared" si="5"/>
        <v>0.4</v>
      </c>
      <c r="Q34" s="11">
        <f t="shared" si="6"/>
        <v>4.0000000000000008E-2</v>
      </c>
      <c r="R34" s="11">
        <f t="shared" si="7"/>
        <v>0.16000000000000003</v>
      </c>
    </row>
    <row r="35" spans="1:20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43" t="s">
        <v>135</v>
      </c>
      <c r="H35" s="5" t="s">
        <v>137</v>
      </c>
      <c r="I35" s="12" t="s">
        <v>133</v>
      </c>
      <c r="J35" s="12" t="s">
        <v>6</v>
      </c>
      <c r="K35" s="12">
        <v>26</v>
      </c>
      <c r="L35" s="13"/>
      <c r="M35" s="11">
        <v>0.21</v>
      </c>
      <c r="N35" s="11">
        <f t="shared" si="4"/>
        <v>0.21</v>
      </c>
      <c r="O35" s="11">
        <v>1.6E-2</v>
      </c>
      <c r="P35" s="11">
        <f t="shared" si="5"/>
        <v>1.6E-2</v>
      </c>
      <c r="Q35" s="11">
        <f t="shared" si="6"/>
        <v>6.4000000000000003E-3</v>
      </c>
      <c r="R35" s="11">
        <f t="shared" si="7"/>
        <v>6.4000000000000003E-3</v>
      </c>
    </row>
    <row r="36" spans="1:20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43" t="s">
        <v>139</v>
      </c>
      <c r="H36" s="5" t="s">
        <v>137</v>
      </c>
      <c r="I36" s="12" t="s">
        <v>133</v>
      </c>
      <c r="J36" s="12" t="s">
        <v>22</v>
      </c>
      <c r="K36" s="12">
        <v>26</v>
      </c>
      <c r="L36" s="13"/>
      <c r="M36" s="11">
        <v>0.12</v>
      </c>
      <c r="N36" s="11">
        <f t="shared" si="4"/>
        <v>1.92</v>
      </c>
      <c r="O36" s="11">
        <v>0.02</v>
      </c>
      <c r="P36" s="11">
        <f t="shared" si="5"/>
        <v>0.32</v>
      </c>
      <c r="Q36" s="11">
        <f t="shared" si="6"/>
        <v>8.0000000000000002E-3</v>
      </c>
      <c r="R36" s="11">
        <f t="shared" si="7"/>
        <v>0.128</v>
      </c>
    </row>
    <row r="37" spans="1:20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43" t="s">
        <v>145</v>
      </c>
      <c r="H37" s="5" t="s">
        <v>146</v>
      </c>
      <c r="I37" s="12" t="s">
        <v>133</v>
      </c>
      <c r="J37" s="12" t="s">
        <v>6</v>
      </c>
      <c r="K37" s="12">
        <v>40</v>
      </c>
      <c r="L37" s="13"/>
      <c r="M37" s="11">
        <v>0.41</v>
      </c>
      <c r="N37" s="11">
        <f t="shared" si="4"/>
        <v>3.69</v>
      </c>
      <c r="O37" s="11">
        <v>0.1</v>
      </c>
      <c r="P37" s="11">
        <f t="shared" si="5"/>
        <v>0.9</v>
      </c>
      <c r="Q37" s="11">
        <f t="shared" si="6"/>
        <v>4.0000000000000008E-2</v>
      </c>
      <c r="R37" s="11">
        <f t="shared" si="7"/>
        <v>0.3600000000000001</v>
      </c>
    </row>
    <row r="38" spans="1:20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43" t="s">
        <v>148</v>
      </c>
      <c r="H38" s="5" t="s">
        <v>151</v>
      </c>
      <c r="I38" s="12" t="s">
        <v>133</v>
      </c>
      <c r="J38" s="12" t="s">
        <v>6</v>
      </c>
      <c r="K38" s="12">
        <v>43</v>
      </c>
      <c r="L38" s="13"/>
      <c r="M38" s="11">
        <v>0.14000000000000001</v>
      </c>
      <c r="N38" s="11">
        <f t="shared" si="4"/>
        <v>0.14000000000000001</v>
      </c>
      <c r="O38" s="11">
        <v>0.02</v>
      </c>
      <c r="P38" s="11">
        <f t="shared" si="5"/>
        <v>0.02</v>
      </c>
      <c r="Q38" s="11">
        <f t="shared" si="6"/>
        <v>8.0000000000000002E-3</v>
      </c>
      <c r="R38" s="11">
        <f t="shared" si="7"/>
        <v>8.0000000000000002E-3</v>
      </c>
    </row>
    <row r="39" spans="1:20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43" t="s">
        <v>153</v>
      </c>
      <c r="H39" s="5" t="s">
        <v>156</v>
      </c>
      <c r="I39" s="12" t="s">
        <v>133</v>
      </c>
      <c r="J39" s="12" t="s">
        <v>6</v>
      </c>
      <c r="K39" s="12">
        <v>27</v>
      </c>
      <c r="L39" s="13"/>
      <c r="M39" s="11">
        <v>0.41</v>
      </c>
      <c r="N39" s="11">
        <f t="shared" si="4"/>
        <v>0.82</v>
      </c>
      <c r="O39" s="11">
        <v>0.1</v>
      </c>
      <c r="P39" s="11">
        <f t="shared" si="5"/>
        <v>0.2</v>
      </c>
      <c r="Q39" s="11">
        <f t="shared" si="6"/>
        <v>4.0000000000000008E-2</v>
      </c>
      <c r="R39" s="11">
        <f t="shared" si="7"/>
        <v>8.0000000000000016E-2</v>
      </c>
    </row>
    <row r="40" spans="1:20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43" t="s">
        <v>161</v>
      </c>
      <c r="H40" s="5" t="s">
        <v>86</v>
      </c>
      <c r="I40" s="12" t="s">
        <v>162</v>
      </c>
      <c r="J40" s="12" t="s">
        <v>6</v>
      </c>
      <c r="K40" s="12">
        <v>15</v>
      </c>
      <c r="L40" s="13"/>
      <c r="M40" s="11">
        <v>1.84</v>
      </c>
      <c r="N40" s="11">
        <f t="shared" si="4"/>
        <v>1.84</v>
      </c>
      <c r="O40" s="11">
        <v>0.9</v>
      </c>
      <c r="P40" s="11">
        <f t="shared" si="5"/>
        <v>0.9</v>
      </c>
      <c r="Q40" s="11">
        <f t="shared" si="6"/>
        <v>0.36000000000000004</v>
      </c>
      <c r="R40" s="11">
        <f t="shared" si="7"/>
        <v>0.36000000000000004</v>
      </c>
    </row>
    <row r="41" spans="1:20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5" t="s">
        <v>86</v>
      </c>
      <c r="I41" s="12" t="s">
        <v>162</v>
      </c>
      <c r="J41" s="12" t="s">
        <v>6</v>
      </c>
      <c r="K41" s="12" t="s">
        <v>11</v>
      </c>
      <c r="L41" s="13"/>
      <c r="M41" s="11">
        <v>4.62</v>
      </c>
      <c r="N41" s="11">
        <f t="shared" si="4"/>
        <v>4.62</v>
      </c>
      <c r="O41" s="11">
        <f>M41/1.4</f>
        <v>3.3000000000000003</v>
      </c>
      <c r="P41" s="11">
        <f t="shared" si="5"/>
        <v>3.3000000000000003</v>
      </c>
      <c r="Q41" s="11">
        <f t="shared" si="6"/>
        <v>1.3200000000000003</v>
      </c>
      <c r="R41" s="11">
        <f t="shared" si="7"/>
        <v>1.3200000000000003</v>
      </c>
    </row>
    <row r="42" spans="1:20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43" t="s">
        <v>170</v>
      </c>
      <c r="H42" s="5">
        <v>1206</v>
      </c>
      <c r="I42" s="12" t="s">
        <v>171</v>
      </c>
      <c r="J42" s="12" t="s">
        <v>6</v>
      </c>
      <c r="K42" s="12">
        <v>13</v>
      </c>
      <c r="L42" s="13"/>
      <c r="M42" s="11">
        <v>1.38</v>
      </c>
      <c r="N42" s="11">
        <f t="shared" si="4"/>
        <v>1.38</v>
      </c>
      <c r="O42" s="11">
        <v>0.6</v>
      </c>
      <c r="P42" s="11">
        <f t="shared" si="5"/>
        <v>0.6</v>
      </c>
      <c r="Q42" s="11">
        <f t="shared" si="6"/>
        <v>0.24</v>
      </c>
      <c r="R42" s="11">
        <f t="shared" si="7"/>
        <v>0.24</v>
      </c>
    </row>
    <row r="43" spans="1:20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43" t="s">
        <v>175</v>
      </c>
      <c r="H43" s="5">
        <v>1206</v>
      </c>
      <c r="I43" s="12" t="s">
        <v>171</v>
      </c>
      <c r="J43" s="12" t="s">
        <v>6</v>
      </c>
      <c r="K43" s="12">
        <v>13</v>
      </c>
      <c r="L43" s="13"/>
      <c r="M43" s="11">
        <v>1.38</v>
      </c>
      <c r="N43" s="11">
        <f t="shared" si="4"/>
        <v>1.38</v>
      </c>
      <c r="O43" s="11">
        <v>0.6</v>
      </c>
      <c r="P43" s="11">
        <f t="shared" si="5"/>
        <v>0.6</v>
      </c>
      <c r="Q43" s="11">
        <f t="shared" si="6"/>
        <v>0.24</v>
      </c>
      <c r="R43" s="11">
        <f t="shared" si="7"/>
        <v>0.24</v>
      </c>
    </row>
    <row r="44" spans="1:20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43" t="s">
        <v>177</v>
      </c>
      <c r="H44" s="5" t="s">
        <v>180</v>
      </c>
      <c r="I44" s="12" t="s">
        <v>181</v>
      </c>
      <c r="J44" s="12" t="s">
        <v>6</v>
      </c>
      <c r="K44" s="12">
        <v>16</v>
      </c>
      <c r="L44" s="13"/>
      <c r="M44" s="11">
        <v>6.3</v>
      </c>
      <c r="N44" s="11">
        <f t="shared" si="4"/>
        <v>6.3</v>
      </c>
      <c r="O44" s="11">
        <v>3.85</v>
      </c>
      <c r="P44" s="11">
        <f t="shared" si="5"/>
        <v>3.85</v>
      </c>
      <c r="Q44" s="11">
        <f t="shared" si="6"/>
        <v>1.54</v>
      </c>
      <c r="R44" s="11">
        <f t="shared" si="7"/>
        <v>1.54</v>
      </c>
    </row>
    <row r="45" spans="1:20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43" t="s">
        <v>183</v>
      </c>
      <c r="H45" s="5" t="s">
        <v>186</v>
      </c>
      <c r="I45" s="12" t="s">
        <v>181</v>
      </c>
      <c r="J45" s="12" t="s">
        <v>6</v>
      </c>
      <c r="K45" s="12">
        <v>18</v>
      </c>
      <c r="L45" s="13"/>
      <c r="M45" s="11">
        <v>5.4</v>
      </c>
      <c r="N45" s="11">
        <f t="shared" si="4"/>
        <v>5.4</v>
      </c>
      <c r="O45" s="11">
        <v>3.16</v>
      </c>
      <c r="P45" s="11">
        <f t="shared" si="5"/>
        <v>3.16</v>
      </c>
      <c r="Q45" s="11">
        <f t="shared" si="6"/>
        <v>1.2640000000000002</v>
      </c>
      <c r="R45" s="11">
        <f t="shared" si="7"/>
        <v>1.2640000000000002</v>
      </c>
      <c r="T45" s="14" t="s">
        <v>187</v>
      </c>
    </row>
    <row r="46" spans="1:20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43">
        <v>484060003</v>
      </c>
      <c r="H46" s="5" t="s">
        <v>186</v>
      </c>
      <c r="I46" s="12" t="s">
        <v>181</v>
      </c>
      <c r="J46" s="12" t="s">
        <v>6</v>
      </c>
      <c r="K46" s="12">
        <v>20</v>
      </c>
      <c r="L46" s="13"/>
      <c r="M46" s="11">
        <v>2.1</v>
      </c>
      <c r="N46" s="11">
        <f t="shared" si="4"/>
        <v>2.1</v>
      </c>
      <c r="O46" s="11">
        <v>1.18</v>
      </c>
      <c r="P46" s="11">
        <f t="shared" si="5"/>
        <v>1.18</v>
      </c>
      <c r="Q46" s="11">
        <f t="shared" si="6"/>
        <v>0.47199999999999998</v>
      </c>
      <c r="R46" s="11">
        <f t="shared" si="7"/>
        <v>0.47199999999999998</v>
      </c>
    </row>
    <row r="47" spans="1:20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5" t="s">
        <v>86</v>
      </c>
      <c r="I47" s="12" t="s">
        <v>181</v>
      </c>
      <c r="J47" s="12" t="s">
        <v>6</v>
      </c>
      <c r="K47" s="12">
        <v>9</v>
      </c>
      <c r="L47" s="13"/>
      <c r="M47" s="11">
        <v>3.08</v>
      </c>
      <c r="N47" s="11">
        <f t="shared" si="4"/>
        <v>3.08</v>
      </c>
      <c r="O47" s="11">
        <v>1.59</v>
      </c>
      <c r="P47" s="11">
        <f t="shared" si="5"/>
        <v>1.59</v>
      </c>
      <c r="Q47" s="11">
        <f t="shared" si="6"/>
        <v>0.63600000000000012</v>
      </c>
      <c r="R47" s="11">
        <f t="shared" si="7"/>
        <v>0.63600000000000012</v>
      </c>
    </row>
    <row r="48" spans="1:20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43" t="s">
        <v>196</v>
      </c>
      <c r="H48" s="5" t="s">
        <v>199</v>
      </c>
      <c r="I48" s="12" t="s">
        <v>181</v>
      </c>
      <c r="J48" s="12" t="s">
        <v>6</v>
      </c>
      <c r="K48" s="12">
        <v>10</v>
      </c>
      <c r="L48" s="13"/>
      <c r="M48" s="11">
        <v>1.28</v>
      </c>
      <c r="N48" s="11">
        <f t="shared" si="4"/>
        <v>1.28</v>
      </c>
      <c r="O48" s="11">
        <v>0.7</v>
      </c>
      <c r="P48" s="11">
        <f t="shared" si="5"/>
        <v>0.7</v>
      </c>
      <c r="Q48" s="11">
        <f t="shared" si="6"/>
        <v>0.27999999999999997</v>
      </c>
      <c r="R48" s="11">
        <f t="shared" si="7"/>
        <v>0.27999999999999997</v>
      </c>
    </row>
    <row r="49" spans="1:18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5" t="s">
        <v>86</v>
      </c>
      <c r="I49" s="12" t="s">
        <v>181</v>
      </c>
      <c r="J49" s="12" t="s">
        <v>6</v>
      </c>
      <c r="K49" s="12">
        <v>15</v>
      </c>
      <c r="L49" s="13"/>
      <c r="M49" s="11">
        <v>1.86</v>
      </c>
      <c r="N49" s="11">
        <f t="shared" si="4"/>
        <v>1.86</v>
      </c>
      <c r="O49" s="11">
        <v>1.1299999999999999</v>
      </c>
      <c r="P49" s="11">
        <f t="shared" si="5"/>
        <v>1.1299999999999999</v>
      </c>
      <c r="Q49" s="11">
        <f t="shared" si="6"/>
        <v>0.45199999999999996</v>
      </c>
      <c r="R49" s="11">
        <f t="shared" si="7"/>
        <v>0.45199999999999996</v>
      </c>
    </row>
    <row r="50" spans="1:18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44" t="s">
        <v>204</v>
      </c>
      <c r="H50" s="5" t="s">
        <v>186</v>
      </c>
      <c r="I50" s="12" t="s">
        <v>181</v>
      </c>
      <c r="J50" s="12" t="s">
        <v>22</v>
      </c>
      <c r="K50" s="12">
        <v>14</v>
      </c>
      <c r="L50" s="13"/>
      <c r="M50" s="11">
        <v>8.23</v>
      </c>
      <c r="N50" s="11">
        <f t="shared" si="4"/>
        <v>8.23</v>
      </c>
      <c r="O50" s="11">
        <v>4.9000000000000004</v>
      </c>
      <c r="P50" s="11">
        <f t="shared" si="5"/>
        <v>4.9000000000000004</v>
      </c>
      <c r="Q50" s="11">
        <f t="shared" si="6"/>
        <v>1.9600000000000002</v>
      </c>
      <c r="R50" s="11">
        <f t="shared" si="7"/>
        <v>1.9600000000000002</v>
      </c>
    </row>
    <row r="51" spans="1:18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44" t="s">
        <v>207</v>
      </c>
      <c r="H51" s="5" t="s">
        <v>210</v>
      </c>
      <c r="I51" s="12" t="s">
        <v>181</v>
      </c>
      <c r="J51" s="5" t="s">
        <v>6</v>
      </c>
      <c r="K51" s="5">
        <v>12</v>
      </c>
      <c r="L51" s="8"/>
      <c r="M51" s="11">
        <v>3.56</v>
      </c>
      <c r="N51" s="11">
        <f t="shared" si="4"/>
        <v>3.56</v>
      </c>
      <c r="O51" s="11">
        <v>1.92</v>
      </c>
      <c r="P51" s="11">
        <f t="shared" si="5"/>
        <v>1.92</v>
      </c>
      <c r="Q51" s="11">
        <f t="shared" si="6"/>
        <v>0.76800000000000002</v>
      </c>
      <c r="R51" s="11">
        <f t="shared" si="7"/>
        <v>0.76800000000000002</v>
      </c>
    </row>
    <row r="52" spans="1:18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43" t="s">
        <v>215</v>
      </c>
      <c r="H52" s="5" t="s">
        <v>86</v>
      </c>
      <c r="I52" s="12" t="s">
        <v>181</v>
      </c>
      <c r="J52" s="12" t="s">
        <v>6</v>
      </c>
      <c r="K52" s="12">
        <v>14</v>
      </c>
      <c r="L52" s="13"/>
      <c r="M52" s="11">
        <v>0.9</v>
      </c>
      <c r="N52" s="11">
        <f t="shared" si="4"/>
        <v>0.9</v>
      </c>
      <c r="O52" s="11">
        <v>0.75</v>
      </c>
      <c r="P52" s="11">
        <f t="shared" si="5"/>
        <v>0.75</v>
      </c>
      <c r="Q52" s="11">
        <f t="shared" si="6"/>
        <v>0.30000000000000004</v>
      </c>
      <c r="R52" s="11">
        <f t="shared" si="7"/>
        <v>0.30000000000000004</v>
      </c>
    </row>
    <row r="53" spans="1:18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43" t="s">
        <v>220</v>
      </c>
      <c r="H53" s="5" t="s">
        <v>86</v>
      </c>
      <c r="I53" s="12" t="s">
        <v>181</v>
      </c>
      <c r="J53" s="12" t="s">
        <v>6</v>
      </c>
      <c r="K53" s="12">
        <v>12</v>
      </c>
      <c r="L53" s="13" t="s">
        <v>216</v>
      </c>
      <c r="M53" s="11">
        <v>1.22</v>
      </c>
      <c r="N53" s="11">
        <f t="shared" si="4"/>
        <v>1.22</v>
      </c>
      <c r="O53" s="11">
        <v>0.67</v>
      </c>
      <c r="P53" s="11">
        <f t="shared" si="5"/>
        <v>0.67</v>
      </c>
      <c r="Q53" s="11">
        <f t="shared" si="6"/>
        <v>0.26800000000000002</v>
      </c>
      <c r="R53" s="11">
        <f t="shared" si="7"/>
        <v>0.26800000000000002</v>
      </c>
    </row>
    <row r="54" spans="1:18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20" t="s">
        <v>222</v>
      </c>
      <c r="I54" s="21" t="s">
        <v>222</v>
      </c>
      <c r="J54" s="22" t="s">
        <v>6</v>
      </c>
      <c r="K54" s="22"/>
      <c r="L54" s="23"/>
      <c r="M54" s="24"/>
      <c r="N54" s="24"/>
      <c r="O54" s="24"/>
      <c r="P54" s="24"/>
      <c r="Q54" s="24"/>
      <c r="R54" s="24"/>
    </row>
    <row r="55" spans="1:18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5" t="s">
        <v>186</v>
      </c>
      <c r="I55" s="12" t="s">
        <v>227</v>
      </c>
      <c r="J55" s="12" t="s">
        <v>6</v>
      </c>
      <c r="K55" s="12">
        <v>14</v>
      </c>
      <c r="L55" s="13"/>
      <c r="M55" s="11">
        <v>4.8499999999999996</v>
      </c>
      <c r="N55" s="11">
        <f t="shared" ref="N55:N96" si="8">M55*B55</f>
        <v>4.8499999999999996</v>
      </c>
      <c r="O55" s="11">
        <v>2.8118400000000001</v>
      </c>
      <c r="P55" s="11">
        <f t="shared" ref="P55:P96" si="9">O55*B55</f>
        <v>2.8118400000000001</v>
      </c>
      <c r="Q55" s="11">
        <f t="shared" ref="Q55:Q96" si="10">O55*0.4</f>
        <v>1.1247360000000002</v>
      </c>
      <c r="R55" s="11">
        <f t="shared" ref="R55:R86" si="11">Q55*B55</f>
        <v>1.1247360000000002</v>
      </c>
    </row>
    <row r="56" spans="1:18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43" t="s">
        <v>231</v>
      </c>
      <c r="H56" s="5">
        <v>603</v>
      </c>
      <c r="I56" s="12" t="s">
        <v>232</v>
      </c>
      <c r="J56" s="12" t="s">
        <v>6</v>
      </c>
      <c r="K56" s="12">
        <v>22</v>
      </c>
      <c r="L56" s="13"/>
      <c r="M56" s="11">
        <v>0.8</v>
      </c>
      <c r="N56" s="11">
        <f t="shared" si="8"/>
        <v>2.4000000000000004</v>
      </c>
      <c r="O56" s="11">
        <v>0.36</v>
      </c>
      <c r="P56" s="11">
        <f t="shared" si="9"/>
        <v>1.08</v>
      </c>
      <c r="Q56" s="11">
        <f t="shared" si="10"/>
        <v>0.14399999999999999</v>
      </c>
      <c r="R56" s="11">
        <f t="shared" si="11"/>
        <v>0.43199999999999994</v>
      </c>
    </row>
    <row r="57" spans="1:18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5" t="s">
        <v>237</v>
      </c>
      <c r="I57" s="12" t="s">
        <v>232</v>
      </c>
      <c r="J57" s="12" t="s">
        <v>6</v>
      </c>
      <c r="K57" s="12">
        <v>18</v>
      </c>
      <c r="L57" s="13"/>
      <c r="M57" s="11">
        <v>0.92</v>
      </c>
      <c r="N57" s="11">
        <f t="shared" si="8"/>
        <v>2.7600000000000002</v>
      </c>
      <c r="O57" s="11">
        <v>0.54</v>
      </c>
      <c r="P57" s="11">
        <f t="shared" si="9"/>
        <v>1.62</v>
      </c>
      <c r="Q57" s="11">
        <f t="shared" si="10"/>
        <v>0.21600000000000003</v>
      </c>
      <c r="R57" s="11">
        <f t="shared" si="11"/>
        <v>0.64800000000000013</v>
      </c>
    </row>
    <row r="58" spans="1:18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43" t="s">
        <v>241</v>
      </c>
      <c r="H58" s="5">
        <v>603</v>
      </c>
      <c r="I58" s="12" t="s">
        <v>232</v>
      </c>
      <c r="J58" s="12" t="s">
        <v>6</v>
      </c>
      <c r="K58" s="12">
        <v>11</v>
      </c>
      <c r="L58" s="13"/>
      <c r="M58" s="11">
        <v>0.2</v>
      </c>
      <c r="N58" s="11">
        <f t="shared" si="8"/>
        <v>1.2000000000000002</v>
      </c>
      <c r="O58" s="11">
        <v>0.06</v>
      </c>
      <c r="P58" s="11">
        <f t="shared" si="9"/>
        <v>0.36</v>
      </c>
      <c r="Q58" s="11">
        <f t="shared" si="10"/>
        <v>2.4E-2</v>
      </c>
      <c r="R58" s="11">
        <f t="shared" si="11"/>
        <v>0.14400000000000002</v>
      </c>
    </row>
    <row r="59" spans="1:18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43" t="s">
        <v>243</v>
      </c>
      <c r="H59" s="5" t="s">
        <v>245</v>
      </c>
      <c r="I59" s="12" t="s">
        <v>232</v>
      </c>
      <c r="J59" s="12" t="s">
        <v>6</v>
      </c>
      <c r="K59" s="12">
        <v>15</v>
      </c>
      <c r="L59" s="13"/>
      <c r="M59" s="11">
        <v>0.57999999999999996</v>
      </c>
      <c r="N59" s="11">
        <f t="shared" si="8"/>
        <v>1.1599999999999999</v>
      </c>
      <c r="O59" s="11">
        <v>0.23</v>
      </c>
      <c r="P59" s="11">
        <f t="shared" si="9"/>
        <v>0.46</v>
      </c>
      <c r="Q59" s="11">
        <f t="shared" si="10"/>
        <v>9.2000000000000012E-2</v>
      </c>
      <c r="R59" s="11">
        <f t="shared" si="11"/>
        <v>0.18400000000000002</v>
      </c>
    </row>
    <row r="60" spans="1:18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43" t="s">
        <v>247</v>
      </c>
      <c r="H60" s="5" t="s">
        <v>86</v>
      </c>
      <c r="I60" s="12" t="s">
        <v>232</v>
      </c>
      <c r="J60" s="12" t="s">
        <v>6</v>
      </c>
      <c r="K60" s="12">
        <v>8</v>
      </c>
      <c r="L60" s="13"/>
      <c r="M60" s="11">
        <v>0.15</v>
      </c>
      <c r="N60" s="11">
        <f t="shared" si="8"/>
        <v>0.15</v>
      </c>
      <c r="O60" s="11">
        <v>0.06</v>
      </c>
      <c r="P60" s="11">
        <f t="shared" si="9"/>
        <v>0.06</v>
      </c>
      <c r="Q60" s="11">
        <f t="shared" si="10"/>
        <v>2.4E-2</v>
      </c>
      <c r="R60" s="11">
        <f t="shared" si="11"/>
        <v>2.4E-2</v>
      </c>
    </row>
    <row r="61" spans="1:18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43" t="s">
        <v>252</v>
      </c>
      <c r="H61" s="5" t="s">
        <v>86</v>
      </c>
      <c r="I61" s="12" t="s">
        <v>232</v>
      </c>
      <c r="J61" s="12" t="s">
        <v>6</v>
      </c>
      <c r="K61" s="12">
        <v>7</v>
      </c>
      <c r="L61" s="13"/>
      <c r="M61" s="11">
        <v>1.85</v>
      </c>
      <c r="N61" s="11">
        <f t="shared" si="8"/>
        <v>3.7</v>
      </c>
      <c r="O61" s="11">
        <v>0.877</v>
      </c>
      <c r="P61" s="11">
        <f t="shared" si="9"/>
        <v>1.754</v>
      </c>
      <c r="Q61" s="11">
        <f t="shared" si="10"/>
        <v>0.3508</v>
      </c>
      <c r="R61" s="11">
        <f t="shared" si="11"/>
        <v>0.7016</v>
      </c>
    </row>
    <row r="62" spans="1:18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43" t="s">
        <v>256</v>
      </c>
      <c r="H62" s="5">
        <v>402</v>
      </c>
      <c r="I62" s="12" t="s">
        <v>232</v>
      </c>
      <c r="J62" s="12" t="s">
        <v>6</v>
      </c>
      <c r="K62" s="12">
        <v>11</v>
      </c>
      <c r="L62" s="13" t="s">
        <v>257</v>
      </c>
      <c r="M62" s="11">
        <v>0.24</v>
      </c>
      <c r="N62" s="11">
        <f t="shared" si="8"/>
        <v>0.72</v>
      </c>
      <c r="O62" s="11">
        <v>0.99</v>
      </c>
      <c r="P62" s="11">
        <f t="shared" si="9"/>
        <v>2.9699999999999998</v>
      </c>
      <c r="Q62" s="11">
        <f t="shared" si="10"/>
        <v>0.39600000000000002</v>
      </c>
      <c r="R62" s="11">
        <f t="shared" si="11"/>
        <v>1.1880000000000002</v>
      </c>
    </row>
    <row r="63" spans="1:18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43" t="s">
        <v>261</v>
      </c>
      <c r="H63" s="5">
        <v>603</v>
      </c>
      <c r="I63" s="12" t="s">
        <v>232</v>
      </c>
      <c r="J63" s="12" t="s">
        <v>6</v>
      </c>
      <c r="K63" s="12">
        <v>11</v>
      </c>
      <c r="L63" s="13"/>
      <c r="M63" s="11">
        <v>0.24</v>
      </c>
      <c r="N63" s="11">
        <f t="shared" si="8"/>
        <v>0.48</v>
      </c>
      <c r="O63" s="11">
        <v>0.99</v>
      </c>
      <c r="P63" s="11">
        <f t="shared" si="9"/>
        <v>1.98</v>
      </c>
      <c r="Q63" s="11">
        <f t="shared" si="10"/>
        <v>0.39600000000000002</v>
      </c>
      <c r="R63" s="11">
        <f t="shared" si="11"/>
        <v>0.79200000000000004</v>
      </c>
    </row>
    <row r="64" spans="1:18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43" t="s">
        <v>265</v>
      </c>
      <c r="H64" s="5">
        <v>1806</v>
      </c>
      <c r="I64" s="12" t="s">
        <v>232</v>
      </c>
      <c r="J64" s="12" t="s">
        <v>6</v>
      </c>
      <c r="K64" s="12">
        <v>12</v>
      </c>
      <c r="L64" s="13"/>
      <c r="M64" s="11">
        <v>0.35</v>
      </c>
      <c r="N64" s="11">
        <f t="shared" si="8"/>
        <v>0.35</v>
      </c>
      <c r="O64" s="11">
        <v>0.12</v>
      </c>
      <c r="P64" s="11">
        <f t="shared" si="9"/>
        <v>0.12</v>
      </c>
      <c r="Q64" s="11">
        <f t="shared" si="10"/>
        <v>4.8000000000000001E-2</v>
      </c>
      <c r="R64" s="11">
        <f t="shared" si="11"/>
        <v>4.8000000000000001E-2</v>
      </c>
    </row>
    <row r="65" spans="1:18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43" t="s">
        <v>267</v>
      </c>
      <c r="H65" s="5" t="s">
        <v>270</v>
      </c>
      <c r="I65" s="12" t="s">
        <v>271</v>
      </c>
      <c r="J65" s="12" t="s">
        <v>6</v>
      </c>
      <c r="K65" s="12">
        <v>45</v>
      </c>
      <c r="L65" s="13"/>
      <c r="M65" s="11">
        <v>0.16</v>
      </c>
      <c r="N65" s="11">
        <f t="shared" si="8"/>
        <v>0.32</v>
      </c>
      <c r="O65" s="11">
        <v>0.33</v>
      </c>
      <c r="P65" s="11">
        <f t="shared" si="9"/>
        <v>0.66</v>
      </c>
      <c r="Q65" s="11">
        <f t="shared" si="10"/>
        <v>0.13200000000000001</v>
      </c>
      <c r="R65" s="11">
        <f t="shared" si="11"/>
        <v>0.26400000000000001</v>
      </c>
    </row>
    <row r="66" spans="1:18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43" t="s">
        <v>273</v>
      </c>
      <c r="H66" s="5" t="s">
        <v>275</v>
      </c>
      <c r="I66" s="12" t="s">
        <v>271</v>
      </c>
      <c r="J66" s="12" t="s">
        <v>6</v>
      </c>
      <c r="K66" s="12">
        <v>26</v>
      </c>
      <c r="L66" s="13"/>
      <c r="M66" s="11">
        <v>0.34</v>
      </c>
      <c r="N66" s="11">
        <f t="shared" si="8"/>
        <v>0.34</v>
      </c>
      <c r="O66" s="11">
        <v>6.6000000000000003E-2</v>
      </c>
      <c r="P66" s="11">
        <f t="shared" si="9"/>
        <v>6.6000000000000003E-2</v>
      </c>
      <c r="Q66" s="11">
        <f t="shared" si="10"/>
        <v>2.6400000000000003E-2</v>
      </c>
      <c r="R66" s="11">
        <f t="shared" si="11"/>
        <v>2.6400000000000003E-2</v>
      </c>
    </row>
    <row r="67" spans="1:18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43" t="s">
        <v>280</v>
      </c>
      <c r="H67" s="5">
        <v>402</v>
      </c>
      <c r="I67" s="12" t="s">
        <v>281</v>
      </c>
      <c r="J67" s="12" t="s">
        <v>22</v>
      </c>
      <c r="K67" s="12">
        <v>18</v>
      </c>
      <c r="L67" s="13" t="s">
        <v>282</v>
      </c>
      <c r="M67" s="11">
        <v>0.1</v>
      </c>
      <c r="N67" s="11">
        <f t="shared" si="8"/>
        <v>1.8</v>
      </c>
      <c r="O67" s="11">
        <v>3.0000000000000001E-3</v>
      </c>
      <c r="P67" s="11">
        <f t="shared" si="9"/>
        <v>5.3999999999999999E-2</v>
      </c>
      <c r="Q67" s="11">
        <f t="shared" si="10"/>
        <v>1.2000000000000001E-3</v>
      </c>
      <c r="R67" s="11">
        <f t="shared" si="11"/>
        <v>2.1600000000000001E-2</v>
      </c>
    </row>
    <row r="68" spans="1:18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43" t="s">
        <v>287</v>
      </c>
      <c r="H68" s="5">
        <v>603</v>
      </c>
      <c r="I68" s="12" t="s">
        <v>281</v>
      </c>
      <c r="J68" s="12" t="s">
        <v>6</v>
      </c>
      <c r="K68" s="12">
        <v>29</v>
      </c>
      <c r="L68" s="13"/>
      <c r="M68" s="11">
        <v>0.1</v>
      </c>
      <c r="N68" s="11">
        <f t="shared" si="8"/>
        <v>0.8</v>
      </c>
      <c r="O68" s="11">
        <v>3.0000000000000001E-3</v>
      </c>
      <c r="P68" s="11">
        <f t="shared" si="9"/>
        <v>2.4E-2</v>
      </c>
      <c r="Q68" s="11">
        <f t="shared" si="10"/>
        <v>1.2000000000000001E-3</v>
      </c>
      <c r="R68" s="11">
        <f t="shared" si="11"/>
        <v>9.6000000000000009E-3</v>
      </c>
    </row>
    <row r="69" spans="1:18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43" t="s">
        <v>291</v>
      </c>
      <c r="H69" s="5">
        <v>603</v>
      </c>
      <c r="I69" s="12" t="s">
        <v>281</v>
      </c>
      <c r="J69" s="12" t="s">
        <v>6</v>
      </c>
      <c r="K69" s="12">
        <v>24</v>
      </c>
      <c r="L69" s="13" t="s">
        <v>292</v>
      </c>
      <c r="M69" s="11">
        <v>0.31</v>
      </c>
      <c r="N69" s="11">
        <f t="shared" si="8"/>
        <v>4.03</v>
      </c>
      <c r="O69" s="11">
        <v>4.2000000000000003E-2</v>
      </c>
      <c r="P69" s="11">
        <f t="shared" si="9"/>
        <v>0.54600000000000004</v>
      </c>
      <c r="Q69" s="11">
        <f t="shared" si="10"/>
        <v>1.6800000000000002E-2</v>
      </c>
      <c r="R69" s="11">
        <f t="shared" si="11"/>
        <v>0.21840000000000004</v>
      </c>
    </row>
    <row r="70" spans="1:18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43" t="s">
        <v>296</v>
      </c>
      <c r="H70" s="5">
        <v>1206</v>
      </c>
      <c r="I70" s="12" t="s">
        <v>281</v>
      </c>
      <c r="J70" s="12" t="s">
        <v>6</v>
      </c>
      <c r="K70" s="12">
        <v>23</v>
      </c>
      <c r="L70" s="13"/>
      <c r="M70" s="11">
        <v>0.1</v>
      </c>
      <c r="N70" s="11">
        <f t="shared" si="8"/>
        <v>2.2000000000000002</v>
      </c>
      <c r="O70" s="11">
        <v>1.4E-2</v>
      </c>
      <c r="P70" s="11">
        <f t="shared" si="9"/>
        <v>0.308</v>
      </c>
      <c r="Q70" s="11">
        <f t="shared" si="10"/>
        <v>5.6000000000000008E-3</v>
      </c>
      <c r="R70" s="11">
        <f t="shared" si="11"/>
        <v>0.12320000000000002</v>
      </c>
    </row>
    <row r="71" spans="1:18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43" t="s">
        <v>301</v>
      </c>
      <c r="H71" s="5">
        <v>402</v>
      </c>
      <c r="I71" s="12" t="s">
        <v>281</v>
      </c>
      <c r="J71" s="12" t="s">
        <v>6</v>
      </c>
      <c r="K71" s="12">
        <v>16</v>
      </c>
      <c r="L71" s="13" t="s">
        <v>302</v>
      </c>
      <c r="M71" s="11">
        <v>0.1</v>
      </c>
      <c r="N71" s="11">
        <f t="shared" si="8"/>
        <v>0.30000000000000004</v>
      </c>
      <c r="O71" s="11">
        <v>3.0000000000000001E-3</v>
      </c>
      <c r="P71" s="11">
        <f t="shared" si="9"/>
        <v>9.0000000000000011E-3</v>
      </c>
      <c r="Q71" s="11">
        <f t="shared" si="10"/>
        <v>1.2000000000000001E-3</v>
      </c>
      <c r="R71" s="11">
        <f t="shared" si="11"/>
        <v>3.6000000000000003E-3</v>
      </c>
    </row>
    <row r="72" spans="1:18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43" t="s">
        <v>306</v>
      </c>
      <c r="H72" s="5">
        <v>402</v>
      </c>
      <c r="I72" s="12" t="s">
        <v>281</v>
      </c>
      <c r="J72" s="12" t="s">
        <v>6</v>
      </c>
      <c r="K72" s="12">
        <v>16</v>
      </c>
      <c r="L72" s="13"/>
      <c r="M72" s="11">
        <v>0.1</v>
      </c>
      <c r="N72" s="11">
        <f t="shared" si="8"/>
        <v>0.30000000000000004</v>
      </c>
      <c r="O72" s="11">
        <v>2E-3</v>
      </c>
      <c r="P72" s="11">
        <f t="shared" si="9"/>
        <v>6.0000000000000001E-3</v>
      </c>
      <c r="Q72" s="11">
        <f t="shared" si="10"/>
        <v>8.0000000000000004E-4</v>
      </c>
      <c r="R72" s="11">
        <f t="shared" si="11"/>
        <v>2.4000000000000002E-3</v>
      </c>
    </row>
    <row r="73" spans="1:18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43" t="s">
        <v>310</v>
      </c>
      <c r="H73" s="5">
        <v>402</v>
      </c>
      <c r="I73" s="12" t="s">
        <v>281</v>
      </c>
      <c r="J73" s="12" t="s">
        <v>6</v>
      </c>
      <c r="K73" s="12">
        <v>16</v>
      </c>
      <c r="L73" s="13"/>
      <c r="M73" s="11">
        <v>0.1</v>
      </c>
      <c r="N73" s="11">
        <f t="shared" si="8"/>
        <v>0.1</v>
      </c>
      <c r="O73" s="11">
        <v>2E-3</v>
      </c>
      <c r="P73" s="11">
        <f t="shared" si="9"/>
        <v>2E-3</v>
      </c>
      <c r="Q73" s="11">
        <f t="shared" si="10"/>
        <v>8.0000000000000004E-4</v>
      </c>
      <c r="R73" s="11">
        <f t="shared" si="11"/>
        <v>8.0000000000000004E-4</v>
      </c>
    </row>
    <row r="74" spans="1:18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43" t="s">
        <v>314</v>
      </c>
      <c r="H74" s="5">
        <v>402</v>
      </c>
      <c r="I74" s="12" t="s">
        <v>281</v>
      </c>
      <c r="J74" s="12" t="s">
        <v>6</v>
      </c>
      <c r="K74" s="12">
        <v>29</v>
      </c>
      <c r="L74" s="13"/>
      <c r="M74" s="11">
        <v>0.1</v>
      </c>
      <c r="N74" s="11">
        <f t="shared" si="8"/>
        <v>0.4</v>
      </c>
      <c r="O74" s="11">
        <v>2E-3</v>
      </c>
      <c r="P74" s="11">
        <f t="shared" si="9"/>
        <v>8.0000000000000002E-3</v>
      </c>
      <c r="Q74" s="11">
        <f t="shared" si="10"/>
        <v>8.0000000000000004E-4</v>
      </c>
      <c r="R74" s="11">
        <f t="shared" si="11"/>
        <v>3.2000000000000002E-3</v>
      </c>
    </row>
    <row r="75" spans="1:18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43" t="s">
        <v>318</v>
      </c>
      <c r="H75" s="5">
        <v>402</v>
      </c>
      <c r="I75" s="12" t="s">
        <v>281</v>
      </c>
      <c r="J75" s="12" t="s">
        <v>6</v>
      </c>
      <c r="K75" s="12">
        <v>20</v>
      </c>
      <c r="L75" s="13"/>
      <c r="M75" s="11">
        <v>0.1</v>
      </c>
      <c r="N75" s="11">
        <f t="shared" si="8"/>
        <v>0.60000000000000009</v>
      </c>
      <c r="O75" s="11">
        <v>2E-3</v>
      </c>
      <c r="P75" s="11">
        <f t="shared" si="9"/>
        <v>1.2E-2</v>
      </c>
      <c r="Q75" s="11">
        <f t="shared" si="10"/>
        <v>8.0000000000000004E-4</v>
      </c>
      <c r="R75" s="11">
        <f t="shared" si="11"/>
        <v>4.8000000000000004E-3</v>
      </c>
    </row>
    <row r="76" spans="1:18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43" t="s">
        <v>322</v>
      </c>
      <c r="H76" s="5">
        <v>603</v>
      </c>
      <c r="I76" s="12" t="s">
        <v>281</v>
      </c>
      <c r="J76" s="12" t="s">
        <v>6</v>
      </c>
      <c r="K76" s="12">
        <v>24</v>
      </c>
      <c r="L76" s="13"/>
      <c r="M76" s="11">
        <v>0.1</v>
      </c>
      <c r="N76" s="11">
        <f t="shared" si="8"/>
        <v>0.1</v>
      </c>
      <c r="O76" s="11">
        <v>5.0000000000000001E-3</v>
      </c>
      <c r="P76" s="11">
        <f t="shared" si="9"/>
        <v>5.0000000000000001E-3</v>
      </c>
      <c r="Q76" s="11">
        <f t="shared" si="10"/>
        <v>2E-3</v>
      </c>
      <c r="R76" s="11">
        <f t="shared" si="11"/>
        <v>2E-3</v>
      </c>
    </row>
    <row r="77" spans="1:18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43" t="s">
        <v>326</v>
      </c>
      <c r="H77" s="5">
        <v>603</v>
      </c>
      <c r="I77" s="12" t="s">
        <v>281</v>
      </c>
      <c r="J77" s="12" t="s">
        <v>6</v>
      </c>
      <c r="K77" s="12">
        <v>23</v>
      </c>
      <c r="L77" s="13"/>
      <c r="M77" s="11">
        <v>0.65</v>
      </c>
      <c r="N77" s="11">
        <f t="shared" si="8"/>
        <v>0.65</v>
      </c>
      <c r="O77" s="11">
        <v>0.129</v>
      </c>
      <c r="P77" s="11">
        <f t="shared" si="9"/>
        <v>0.129</v>
      </c>
      <c r="Q77" s="11">
        <f t="shared" si="10"/>
        <v>5.1600000000000007E-2</v>
      </c>
      <c r="R77" s="11">
        <f t="shared" si="11"/>
        <v>5.1600000000000007E-2</v>
      </c>
    </row>
    <row r="78" spans="1:18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43" t="s">
        <v>331</v>
      </c>
      <c r="H78" s="5">
        <v>603</v>
      </c>
      <c r="I78" s="12" t="s">
        <v>281</v>
      </c>
      <c r="J78" s="12" t="s">
        <v>6</v>
      </c>
      <c r="K78" s="12">
        <v>14</v>
      </c>
      <c r="L78" s="13" t="s">
        <v>332</v>
      </c>
      <c r="M78" s="11">
        <v>0.1</v>
      </c>
      <c r="N78" s="11">
        <f t="shared" si="8"/>
        <v>0.2</v>
      </c>
      <c r="O78" s="11">
        <v>1.0999999999999999E-2</v>
      </c>
      <c r="P78" s="11">
        <f t="shared" si="9"/>
        <v>2.1999999999999999E-2</v>
      </c>
      <c r="Q78" s="11">
        <f t="shared" si="10"/>
        <v>4.4000000000000003E-3</v>
      </c>
      <c r="R78" s="11">
        <f t="shared" si="11"/>
        <v>8.8000000000000005E-3</v>
      </c>
    </row>
    <row r="79" spans="1:18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43" t="s">
        <v>336</v>
      </c>
      <c r="H79" s="5">
        <v>603</v>
      </c>
      <c r="I79" s="12" t="s">
        <v>281</v>
      </c>
      <c r="J79" s="12" t="s">
        <v>6</v>
      </c>
      <c r="K79" s="12">
        <v>23</v>
      </c>
      <c r="L79" s="13"/>
      <c r="M79" s="11">
        <v>0.17</v>
      </c>
      <c r="N79" s="11">
        <f t="shared" si="8"/>
        <v>1.1900000000000002</v>
      </c>
      <c r="O79" s="11">
        <v>0.02</v>
      </c>
      <c r="P79" s="11">
        <f t="shared" si="9"/>
        <v>0.14000000000000001</v>
      </c>
      <c r="Q79" s="11">
        <f t="shared" si="10"/>
        <v>8.0000000000000002E-3</v>
      </c>
      <c r="R79" s="11">
        <f t="shared" si="11"/>
        <v>5.6000000000000001E-2</v>
      </c>
    </row>
    <row r="80" spans="1:18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43" t="s">
        <v>340</v>
      </c>
      <c r="H80" s="5">
        <v>603</v>
      </c>
      <c r="I80" s="12" t="s">
        <v>281</v>
      </c>
      <c r="J80" s="12" t="s">
        <v>6</v>
      </c>
      <c r="K80" s="12">
        <v>28</v>
      </c>
      <c r="L80" s="13"/>
      <c r="M80" s="11">
        <v>0.23</v>
      </c>
      <c r="N80" s="11">
        <f t="shared" si="8"/>
        <v>1.61</v>
      </c>
      <c r="O80" s="11">
        <v>0.03</v>
      </c>
      <c r="P80" s="11">
        <f t="shared" si="9"/>
        <v>0.21</v>
      </c>
      <c r="Q80" s="11">
        <f t="shared" si="10"/>
        <v>1.2E-2</v>
      </c>
      <c r="R80" s="11">
        <f t="shared" si="11"/>
        <v>8.4000000000000005E-2</v>
      </c>
    </row>
    <row r="81" spans="1:18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43" t="s">
        <v>344</v>
      </c>
      <c r="H81" s="5">
        <v>603</v>
      </c>
      <c r="I81" s="12" t="s">
        <v>281</v>
      </c>
      <c r="J81" s="12" t="s">
        <v>6</v>
      </c>
      <c r="K81" s="12">
        <v>23</v>
      </c>
      <c r="L81" s="13"/>
      <c r="M81" s="11">
        <v>0.17</v>
      </c>
      <c r="N81" s="11">
        <f t="shared" si="8"/>
        <v>0.34</v>
      </c>
      <c r="O81" s="11">
        <v>0.02</v>
      </c>
      <c r="P81" s="11">
        <f t="shared" si="9"/>
        <v>0.04</v>
      </c>
      <c r="Q81" s="11">
        <f t="shared" si="10"/>
        <v>8.0000000000000002E-3</v>
      </c>
      <c r="R81" s="11">
        <f t="shared" si="11"/>
        <v>1.6E-2</v>
      </c>
    </row>
    <row r="82" spans="1:18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43" t="s">
        <v>347</v>
      </c>
      <c r="H82" s="5">
        <v>603</v>
      </c>
      <c r="I82" s="12" t="s">
        <v>281</v>
      </c>
      <c r="J82" s="12" t="s">
        <v>6</v>
      </c>
      <c r="K82" s="12">
        <v>24</v>
      </c>
      <c r="L82" s="13"/>
      <c r="M82" s="11">
        <v>0.1</v>
      </c>
      <c r="N82" s="11">
        <f t="shared" si="8"/>
        <v>0.1</v>
      </c>
      <c r="O82" s="11">
        <v>1.4999999999999999E-2</v>
      </c>
      <c r="P82" s="11">
        <f t="shared" si="9"/>
        <v>1.4999999999999999E-2</v>
      </c>
      <c r="Q82" s="11">
        <f t="shared" si="10"/>
        <v>6.0000000000000001E-3</v>
      </c>
      <c r="R82" s="11">
        <f t="shared" si="11"/>
        <v>6.0000000000000001E-3</v>
      </c>
    </row>
    <row r="83" spans="1:18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43" t="s">
        <v>350</v>
      </c>
      <c r="H83" s="5">
        <v>603</v>
      </c>
      <c r="I83" s="12" t="s">
        <v>281</v>
      </c>
      <c r="J83" s="12" t="s">
        <v>6</v>
      </c>
      <c r="K83" s="12">
        <v>31</v>
      </c>
      <c r="L83" s="13" t="s">
        <v>351</v>
      </c>
      <c r="M83" s="11">
        <v>0.1</v>
      </c>
      <c r="N83" s="11">
        <f t="shared" si="8"/>
        <v>0.60000000000000009</v>
      </c>
      <c r="O83" s="11">
        <v>5.0000000000000001E-3</v>
      </c>
      <c r="P83" s="11">
        <f t="shared" si="9"/>
        <v>0.03</v>
      </c>
      <c r="Q83" s="11">
        <f t="shared" si="10"/>
        <v>2E-3</v>
      </c>
      <c r="R83" s="11">
        <f t="shared" si="11"/>
        <v>1.2E-2</v>
      </c>
    </row>
    <row r="84" spans="1:18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43" t="s">
        <v>354</v>
      </c>
      <c r="H84" s="5">
        <v>603</v>
      </c>
      <c r="I84" s="12" t="s">
        <v>281</v>
      </c>
      <c r="J84" s="12" t="s">
        <v>6</v>
      </c>
      <c r="K84" s="12">
        <v>29</v>
      </c>
      <c r="L84" s="13" t="s">
        <v>355</v>
      </c>
      <c r="M84" s="11">
        <v>0.1</v>
      </c>
      <c r="N84" s="11">
        <f t="shared" si="8"/>
        <v>0.60000000000000009</v>
      </c>
      <c r="O84" s="11">
        <v>5.0000000000000001E-3</v>
      </c>
      <c r="P84" s="11">
        <f t="shared" si="9"/>
        <v>0.03</v>
      </c>
      <c r="Q84" s="11">
        <f t="shared" si="10"/>
        <v>2E-3</v>
      </c>
      <c r="R84" s="11">
        <f t="shared" si="11"/>
        <v>1.2E-2</v>
      </c>
    </row>
    <row r="85" spans="1:18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43" t="s">
        <v>350</v>
      </c>
      <c r="H85" s="5">
        <v>603</v>
      </c>
      <c r="I85" s="12" t="s">
        <v>281</v>
      </c>
      <c r="J85" s="12" t="s">
        <v>6</v>
      </c>
      <c r="K85" s="12">
        <v>31</v>
      </c>
      <c r="L85" s="13" t="s">
        <v>357</v>
      </c>
      <c r="M85" s="11">
        <v>0.1</v>
      </c>
      <c r="N85" s="11">
        <f t="shared" si="8"/>
        <v>0.60000000000000009</v>
      </c>
      <c r="O85" s="11">
        <v>0.05</v>
      </c>
      <c r="P85" s="11">
        <f t="shared" si="9"/>
        <v>0.30000000000000004</v>
      </c>
      <c r="Q85" s="11">
        <f t="shared" si="10"/>
        <v>2.0000000000000004E-2</v>
      </c>
      <c r="R85" s="11">
        <f t="shared" si="11"/>
        <v>0.12000000000000002</v>
      </c>
    </row>
    <row r="86" spans="1:18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43" t="s">
        <v>361</v>
      </c>
      <c r="H86" s="5">
        <v>603</v>
      </c>
      <c r="I86" s="12" t="s">
        <v>281</v>
      </c>
      <c r="J86" s="12" t="s">
        <v>6</v>
      </c>
      <c r="K86" s="12">
        <v>31</v>
      </c>
      <c r="L86" s="13"/>
      <c r="M86" s="11">
        <v>0.1</v>
      </c>
      <c r="N86" s="11">
        <f t="shared" si="8"/>
        <v>0.2</v>
      </c>
      <c r="O86" s="11">
        <v>0.05</v>
      </c>
      <c r="P86" s="11">
        <f t="shared" si="9"/>
        <v>0.1</v>
      </c>
      <c r="Q86" s="11">
        <f t="shared" si="10"/>
        <v>2.0000000000000004E-2</v>
      </c>
      <c r="R86" s="11">
        <f t="shared" si="11"/>
        <v>4.0000000000000008E-2</v>
      </c>
    </row>
    <row r="87" spans="1:18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43" t="s">
        <v>365</v>
      </c>
      <c r="H87" s="5">
        <v>603</v>
      </c>
      <c r="I87" s="12" t="s">
        <v>281</v>
      </c>
      <c r="J87" s="12" t="s">
        <v>6</v>
      </c>
      <c r="K87" s="12">
        <v>31</v>
      </c>
      <c r="L87" s="13"/>
      <c r="M87" s="11">
        <v>0.1</v>
      </c>
      <c r="N87" s="11">
        <f t="shared" si="8"/>
        <v>0.2</v>
      </c>
      <c r="O87" s="11">
        <v>0.05</v>
      </c>
      <c r="P87" s="11">
        <f t="shared" si="9"/>
        <v>0.1</v>
      </c>
      <c r="Q87" s="11">
        <f t="shared" si="10"/>
        <v>2.0000000000000004E-2</v>
      </c>
      <c r="R87" s="11">
        <f t="shared" ref="R87:R117" si="12">Q87*B87</f>
        <v>4.0000000000000008E-2</v>
      </c>
    </row>
    <row r="88" spans="1:18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43" t="s">
        <v>368</v>
      </c>
      <c r="H88" s="5">
        <v>402</v>
      </c>
      <c r="I88" s="12" t="s">
        <v>281</v>
      </c>
      <c r="J88" s="12" t="s">
        <v>6</v>
      </c>
      <c r="K88" s="12">
        <v>16</v>
      </c>
      <c r="L88" s="13"/>
      <c r="M88" s="11">
        <v>0.1</v>
      </c>
      <c r="N88" s="11">
        <f t="shared" si="8"/>
        <v>1.4000000000000001</v>
      </c>
      <c r="O88" s="11">
        <v>0.05</v>
      </c>
      <c r="P88" s="11">
        <f t="shared" si="9"/>
        <v>0.70000000000000007</v>
      </c>
      <c r="Q88" s="11">
        <f t="shared" si="10"/>
        <v>2.0000000000000004E-2</v>
      </c>
      <c r="R88" s="11">
        <f t="shared" si="12"/>
        <v>0.28000000000000003</v>
      </c>
    </row>
    <row r="89" spans="1:18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43" t="s">
        <v>371</v>
      </c>
      <c r="H89" s="5">
        <v>402</v>
      </c>
      <c r="I89" s="12" t="s">
        <v>281</v>
      </c>
      <c r="J89" s="12" t="s">
        <v>6</v>
      </c>
      <c r="K89" s="12">
        <v>29</v>
      </c>
      <c r="L89" s="13" t="s">
        <v>372</v>
      </c>
      <c r="M89" s="11">
        <v>0.1</v>
      </c>
      <c r="N89" s="11">
        <f t="shared" si="8"/>
        <v>0.8</v>
      </c>
      <c r="O89" s="11">
        <v>0.05</v>
      </c>
      <c r="P89" s="11">
        <f t="shared" si="9"/>
        <v>0.4</v>
      </c>
      <c r="Q89" s="11">
        <f t="shared" si="10"/>
        <v>2.0000000000000004E-2</v>
      </c>
      <c r="R89" s="11">
        <f t="shared" si="12"/>
        <v>0.16000000000000003</v>
      </c>
    </row>
    <row r="90" spans="1:18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43" t="s">
        <v>376</v>
      </c>
      <c r="H90" s="5">
        <v>603</v>
      </c>
      <c r="I90" s="12" t="s">
        <v>281</v>
      </c>
      <c r="J90" s="12" t="s">
        <v>6</v>
      </c>
      <c r="K90" s="12">
        <v>29</v>
      </c>
      <c r="L90" s="13"/>
      <c r="M90" s="11">
        <v>0.1</v>
      </c>
      <c r="N90" s="11">
        <f t="shared" si="8"/>
        <v>0.2</v>
      </c>
      <c r="O90" s="11">
        <v>0.05</v>
      </c>
      <c r="P90" s="11">
        <f t="shared" si="9"/>
        <v>0.1</v>
      </c>
      <c r="Q90" s="11">
        <f t="shared" si="10"/>
        <v>2.0000000000000004E-2</v>
      </c>
      <c r="R90" s="11">
        <f t="shared" si="12"/>
        <v>4.0000000000000008E-2</v>
      </c>
    </row>
    <row r="91" spans="1:18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43" t="s">
        <v>379</v>
      </c>
      <c r="H91" s="5">
        <v>1206</v>
      </c>
      <c r="I91" s="12" t="s">
        <v>281</v>
      </c>
      <c r="J91" s="12" t="s">
        <v>6</v>
      </c>
      <c r="K91" s="12">
        <v>29</v>
      </c>
      <c r="L91" s="13"/>
      <c r="M91" s="11">
        <v>0.1</v>
      </c>
      <c r="N91" s="11">
        <f t="shared" si="8"/>
        <v>1.1000000000000001</v>
      </c>
      <c r="O91" s="11">
        <v>0.05</v>
      </c>
      <c r="P91" s="11">
        <f t="shared" si="9"/>
        <v>0.55000000000000004</v>
      </c>
      <c r="Q91" s="11">
        <f t="shared" si="10"/>
        <v>2.0000000000000004E-2</v>
      </c>
      <c r="R91" s="11">
        <f t="shared" si="12"/>
        <v>0.22000000000000003</v>
      </c>
    </row>
    <row r="92" spans="1:18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45" t="s">
        <v>383</v>
      </c>
      <c r="H92" s="5" t="s">
        <v>384</v>
      </c>
      <c r="I92" s="12" t="s">
        <v>181</v>
      </c>
      <c r="J92" s="12" t="s">
        <v>22</v>
      </c>
      <c r="K92" s="12">
        <v>17</v>
      </c>
      <c r="L92" s="13"/>
      <c r="M92" s="11">
        <v>6.53</v>
      </c>
      <c r="N92" s="11">
        <f t="shared" si="8"/>
        <v>6.53</v>
      </c>
      <c r="O92" s="11">
        <v>3.72</v>
      </c>
      <c r="P92" s="11">
        <f t="shared" si="9"/>
        <v>3.72</v>
      </c>
      <c r="Q92" s="11">
        <f t="shared" si="10"/>
        <v>1.4880000000000002</v>
      </c>
      <c r="R92" s="11">
        <f t="shared" si="12"/>
        <v>1.4880000000000002</v>
      </c>
    </row>
    <row r="93" spans="1:18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46" t="s">
        <v>386</v>
      </c>
      <c r="H93" s="5" t="s">
        <v>389</v>
      </c>
      <c r="I93" s="12" t="s">
        <v>390</v>
      </c>
      <c r="J93" s="12" t="s">
        <v>6</v>
      </c>
      <c r="K93" s="12">
        <v>22</v>
      </c>
      <c r="L93" s="13"/>
      <c r="M93" s="11">
        <v>0.56000000000000005</v>
      </c>
      <c r="N93" s="11">
        <f t="shared" si="8"/>
        <v>0.56000000000000005</v>
      </c>
      <c r="O93" s="11">
        <v>0.19</v>
      </c>
      <c r="P93" s="11">
        <f t="shared" si="9"/>
        <v>0.19</v>
      </c>
      <c r="Q93" s="11">
        <f t="shared" si="10"/>
        <v>7.6000000000000012E-2</v>
      </c>
      <c r="R93" s="11">
        <f t="shared" si="12"/>
        <v>7.6000000000000012E-2</v>
      </c>
    </row>
    <row r="94" spans="1:18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46" t="s">
        <v>392</v>
      </c>
      <c r="H94" s="5" t="s">
        <v>395</v>
      </c>
      <c r="I94" s="12" t="s">
        <v>390</v>
      </c>
      <c r="J94" s="12" t="s">
        <v>22</v>
      </c>
      <c r="K94" s="12">
        <v>52</v>
      </c>
      <c r="L94" s="13"/>
      <c r="M94" s="11">
        <v>2.52</v>
      </c>
      <c r="N94" s="11">
        <f t="shared" si="8"/>
        <v>2.52</v>
      </c>
      <c r="O94" s="11">
        <v>1.91</v>
      </c>
      <c r="P94" s="11">
        <f t="shared" si="9"/>
        <v>1.91</v>
      </c>
      <c r="Q94" s="11">
        <f t="shared" si="10"/>
        <v>0.76400000000000001</v>
      </c>
      <c r="R94" s="11">
        <f t="shared" si="12"/>
        <v>0.76400000000000001</v>
      </c>
    </row>
    <row r="95" spans="1:18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46" t="s">
        <v>400</v>
      </c>
      <c r="H95" s="5" t="s">
        <v>401</v>
      </c>
      <c r="I95" s="12" t="s">
        <v>390</v>
      </c>
      <c r="J95" s="12" t="s">
        <v>22</v>
      </c>
      <c r="K95" s="12">
        <v>38</v>
      </c>
      <c r="L95" s="13"/>
      <c r="M95" s="11">
        <v>11.82</v>
      </c>
      <c r="N95" s="11">
        <f t="shared" si="8"/>
        <v>11.82</v>
      </c>
      <c r="O95" s="11">
        <v>7.6</v>
      </c>
      <c r="P95" s="11">
        <f t="shared" si="9"/>
        <v>7.6</v>
      </c>
      <c r="Q95" s="11">
        <f t="shared" si="10"/>
        <v>3.04</v>
      </c>
      <c r="R95" s="11">
        <f t="shared" si="12"/>
        <v>3.04</v>
      </c>
    </row>
    <row r="96" spans="1:18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43" t="s">
        <v>403</v>
      </c>
      <c r="H96" s="5" t="s">
        <v>406</v>
      </c>
      <c r="I96" s="12" t="s">
        <v>390</v>
      </c>
      <c r="J96" s="12" t="s">
        <v>22</v>
      </c>
      <c r="K96" s="12">
        <v>26</v>
      </c>
      <c r="L96" s="13"/>
      <c r="M96" s="11">
        <v>2.93</v>
      </c>
      <c r="N96" s="11">
        <f t="shared" si="8"/>
        <v>2.93</v>
      </c>
      <c r="O96" s="11">
        <v>1.46</v>
      </c>
      <c r="P96" s="11">
        <f t="shared" si="9"/>
        <v>1.46</v>
      </c>
      <c r="Q96" s="11">
        <f t="shared" si="10"/>
        <v>0.58399999999999996</v>
      </c>
      <c r="R96" s="11">
        <f t="shared" si="12"/>
        <v>0.58399999999999996</v>
      </c>
    </row>
    <row r="97" spans="1:18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20" t="s">
        <v>222</v>
      </c>
      <c r="I97" s="21" t="s">
        <v>222</v>
      </c>
      <c r="J97" s="22"/>
      <c r="K97" s="22"/>
      <c r="L97" s="23"/>
      <c r="M97" s="24"/>
      <c r="N97" s="24"/>
      <c r="O97" s="24"/>
      <c r="P97" s="24"/>
      <c r="Q97" s="24">
        <v>5.45</v>
      </c>
      <c r="R97" s="24">
        <f t="shared" si="12"/>
        <v>5.45</v>
      </c>
    </row>
    <row r="98" spans="1:18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43" t="s">
        <v>409</v>
      </c>
      <c r="H98" s="5" t="s">
        <v>411</v>
      </c>
      <c r="I98" s="12" t="s">
        <v>390</v>
      </c>
      <c r="J98" s="12" t="s">
        <v>22</v>
      </c>
      <c r="K98" s="12">
        <v>27</v>
      </c>
      <c r="L98" s="13"/>
      <c r="M98" s="11">
        <v>0.62</v>
      </c>
      <c r="N98" s="11">
        <f t="shared" ref="N98:N117" si="13">M98*B98</f>
        <v>2.48</v>
      </c>
      <c r="O98" s="11">
        <v>0.26</v>
      </c>
      <c r="P98" s="11">
        <f t="shared" ref="P98:P117" si="14">O98*B98</f>
        <v>1.04</v>
      </c>
      <c r="Q98" s="11">
        <f>O98*0.4</f>
        <v>0.10400000000000001</v>
      </c>
      <c r="R98" s="11">
        <f t="shared" si="12"/>
        <v>0.41600000000000004</v>
      </c>
    </row>
    <row r="99" spans="1:18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43" t="s">
        <v>413</v>
      </c>
      <c r="H99" s="5" t="s">
        <v>415</v>
      </c>
      <c r="I99" s="12" t="s">
        <v>390</v>
      </c>
      <c r="J99" s="12" t="s">
        <v>6</v>
      </c>
      <c r="K99" s="12">
        <v>8</v>
      </c>
      <c r="L99" s="13"/>
      <c r="M99" s="11">
        <v>1.82</v>
      </c>
      <c r="N99" s="11">
        <f t="shared" si="13"/>
        <v>1.82</v>
      </c>
      <c r="O99" s="11">
        <v>0.83199999999999996</v>
      </c>
      <c r="P99" s="11">
        <f t="shared" si="14"/>
        <v>0.83199999999999996</v>
      </c>
      <c r="Q99" s="11">
        <f>O99*0.4</f>
        <v>0.33279999999999998</v>
      </c>
      <c r="R99" s="11">
        <f t="shared" si="12"/>
        <v>0.33279999999999998</v>
      </c>
    </row>
    <row r="100" spans="1:18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43" t="s">
        <v>417</v>
      </c>
      <c r="H100" s="5" t="s">
        <v>419</v>
      </c>
      <c r="I100" s="12" t="s">
        <v>390</v>
      </c>
      <c r="J100" s="12" t="s">
        <v>22</v>
      </c>
      <c r="K100" s="12">
        <v>43</v>
      </c>
      <c r="L100" s="13"/>
      <c r="M100" s="11">
        <v>0.42</v>
      </c>
      <c r="N100" s="11">
        <f t="shared" si="13"/>
        <v>0.42</v>
      </c>
      <c r="O100" s="11">
        <v>0.21</v>
      </c>
      <c r="P100" s="11">
        <f t="shared" si="14"/>
        <v>0.21</v>
      </c>
      <c r="Q100" s="11">
        <f>O100*0.4</f>
        <v>8.4000000000000005E-2</v>
      </c>
      <c r="R100" s="11">
        <f t="shared" si="12"/>
        <v>8.4000000000000005E-2</v>
      </c>
    </row>
    <row r="101" spans="1:18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43" t="s">
        <v>421</v>
      </c>
      <c r="H101" s="5" t="s">
        <v>424</v>
      </c>
      <c r="I101" s="12" t="s">
        <v>390</v>
      </c>
      <c r="J101" s="12" t="s">
        <v>6</v>
      </c>
      <c r="K101" s="12">
        <v>10</v>
      </c>
      <c r="L101" s="13"/>
      <c r="M101" s="11">
        <v>1.1200000000000001</v>
      </c>
      <c r="N101" s="11">
        <f t="shared" si="13"/>
        <v>1.1200000000000001</v>
      </c>
      <c r="O101" s="11">
        <v>0.47</v>
      </c>
      <c r="P101" s="11">
        <f t="shared" si="14"/>
        <v>0.47</v>
      </c>
      <c r="Q101" s="11">
        <f>O101*0.4</f>
        <v>0.188</v>
      </c>
      <c r="R101" s="11">
        <f t="shared" si="12"/>
        <v>0.188</v>
      </c>
    </row>
    <row r="102" spans="1:18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5" t="s">
        <v>86</v>
      </c>
      <c r="I102" s="12" t="s">
        <v>390</v>
      </c>
      <c r="J102" s="12" t="s">
        <v>22</v>
      </c>
      <c r="K102" s="12" t="s">
        <v>430</v>
      </c>
      <c r="L102" s="13"/>
      <c r="M102" s="11">
        <v>26.75</v>
      </c>
      <c r="N102" s="11">
        <f t="shared" si="13"/>
        <v>26.75</v>
      </c>
      <c r="O102" s="11">
        <v>26.75</v>
      </c>
      <c r="P102" s="11">
        <f t="shared" si="14"/>
        <v>26.75</v>
      </c>
      <c r="Q102" s="11">
        <v>26.75</v>
      </c>
      <c r="R102" s="11">
        <f t="shared" si="12"/>
        <v>26.75</v>
      </c>
    </row>
    <row r="103" spans="1:18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43" t="s">
        <v>432</v>
      </c>
      <c r="H103" s="5" t="s">
        <v>434</v>
      </c>
      <c r="I103" s="12" t="s">
        <v>390</v>
      </c>
      <c r="J103" s="12" t="s">
        <v>6</v>
      </c>
      <c r="K103" s="12">
        <v>10</v>
      </c>
      <c r="L103" s="13"/>
      <c r="M103" s="11">
        <v>1.03</v>
      </c>
      <c r="N103" s="11">
        <f t="shared" si="13"/>
        <v>1.03</v>
      </c>
      <c r="O103" s="11">
        <v>0.438</v>
      </c>
      <c r="P103" s="11">
        <f t="shared" si="14"/>
        <v>0.438</v>
      </c>
      <c r="Q103" s="11">
        <f t="shared" ref="Q103:Q117" si="15">O103*0.4</f>
        <v>0.17520000000000002</v>
      </c>
      <c r="R103" s="11">
        <f t="shared" si="12"/>
        <v>0.17520000000000002</v>
      </c>
    </row>
    <row r="104" spans="1:18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43" t="s">
        <v>436</v>
      </c>
      <c r="H104" s="5" t="s">
        <v>438</v>
      </c>
      <c r="I104" s="12" t="s">
        <v>390</v>
      </c>
      <c r="J104" s="12" t="s">
        <v>6</v>
      </c>
      <c r="K104" s="12">
        <v>11</v>
      </c>
      <c r="L104" s="13"/>
      <c r="M104" s="11">
        <v>0.6</v>
      </c>
      <c r="N104" s="11">
        <f t="shared" si="13"/>
        <v>0.6</v>
      </c>
      <c r="O104" s="11">
        <v>0.25600000000000001</v>
      </c>
      <c r="P104" s="11">
        <f t="shared" si="14"/>
        <v>0.25600000000000001</v>
      </c>
      <c r="Q104" s="11">
        <f t="shared" si="15"/>
        <v>0.1024</v>
      </c>
      <c r="R104" s="11">
        <f t="shared" si="12"/>
        <v>0.1024</v>
      </c>
    </row>
    <row r="105" spans="1:18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5" t="s">
        <v>406</v>
      </c>
      <c r="I105" s="12" t="s">
        <v>390</v>
      </c>
      <c r="J105" s="12" t="s">
        <v>6</v>
      </c>
      <c r="K105" s="12">
        <v>47</v>
      </c>
      <c r="L105" s="13"/>
      <c r="M105" s="11">
        <v>0.68</v>
      </c>
      <c r="N105" s="11">
        <f t="shared" si="13"/>
        <v>1.36</v>
      </c>
      <c r="O105" s="11">
        <v>0.28000000000000003</v>
      </c>
      <c r="P105" s="11">
        <f t="shared" si="14"/>
        <v>0.56000000000000005</v>
      </c>
      <c r="Q105" s="11">
        <f t="shared" si="15"/>
        <v>0.11200000000000002</v>
      </c>
      <c r="R105" s="11">
        <f t="shared" si="12"/>
        <v>0.22400000000000003</v>
      </c>
    </row>
    <row r="106" spans="1:18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5" t="s">
        <v>447</v>
      </c>
      <c r="I106" s="12" t="s">
        <v>390</v>
      </c>
      <c r="J106" s="12" t="s">
        <v>6</v>
      </c>
      <c r="K106" s="12">
        <v>24</v>
      </c>
      <c r="L106" s="13"/>
      <c r="M106" s="11">
        <v>0.44</v>
      </c>
      <c r="N106" s="11">
        <f t="shared" si="13"/>
        <v>0.44</v>
      </c>
      <c r="O106" s="11">
        <v>0.16500000000000001</v>
      </c>
      <c r="P106" s="11">
        <f t="shared" si="14"/>
        <v>0.16500000000000001</v>
      </c>
      <c r="Q106" s="11">
        <f t="shared" si="15"/>
        <v>6.6000000000000003E-2</v>
      </c>
      <c r="R106" s="11">
        <f t="shared" si="12"/>
        <v>6.6000000000000003E-2</v>
      </c>
    </row>
    <row r="107" spans="1:18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5" t="s">
        <v>451</v>
      </c>
      <c r="I107" s="12" t="s">
        <v>390</v>
      </c>
      <c r="J107" s="12" t="s">
        <v>22</v>
      </c>
      <c r="K107" s="12">
        <v>28</v>
      </c>
      <c r="L107" s="13"/>
      <c r="M107" s="11">
        <v>1.49</v>
      </c>
      <c r="N107" s="11">
        <f t="shared" si="13"/>
        <v>1.49</v>
      </c>
      <c r="O107" s="11">
        <v>0.65</v>
      </c>
      <c r="P107" s="11">
        <f t="shared" si="14"/>
        <v>0.65</v>
      </c>
      <c r="Q107" s="11">
        <f t="shared" si="15"/>
        <v>0.26</v>
      </c>
      <c r="R107" s="11">
        <f t="shared" si="12"/>
        <v>0.26</v>
      </c>
    </row>
    <row r="108" spans="1:18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5" t="s">
        <v>455</v>
      </c>
      <c r="I108" s="12" t="s">
        <v>390</v>
      </c>
      <c r="J108" s="12" t="s">
        <v>6</v>
      </c>
      <c r="K108" s="12">
        <v>47</v>
      </c>
      <c r="L108" s="13"/>
      <c r="M108" s="11">
        <v>2.34</v>
      </c>
      <c r="N108" s="11">
        <f t="shared" si="13"/>
        <v>2.34</v>
      </c>
      <c r="O108" s="11">
        <v>1.069</v>
      </c>
      <c r="P108" s="11">
        <f t="shared" si="14"/>
        <v>1.069</v>
      </c>
      <c r="Q108" s="11">
        <f t="shared" si="15"/>
        <v>0.42759999999999998</v>
      </c>
      <c r="R108" s="11">
        <f t="shared" si="12"/>
        <v>0.42759999999999998</v>
      </c>
    </row>
    <row r="109" spans="1:18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5" t="s">
        <v>459</v>
      </c>
      <c r="I109" s="12" t="s">
        <v>390</v>
      </c>
      <c r="J109" s="12" t="s">
        <v>6</v>
      </c>
      <c r="K109" s="12">
        <v>6</v>
      </c>
      <c r="L109" s="13"/>
      <c r="M109" s="11">
        <v>1.1599999999999999</v>
      </c>
      <c r="N109" s="11">
        <f t="shared" si="13"/>
        <v>1.1599999999999999</v>
      </c>
      <c r="O109" s="11">
        <v>0.49</v>
      </c>
      <c r="P109" s="11">
        <f t="shared" si="14"/>
        <v>0.49</v>
      </c>
      <c r="Q109" s="11">
        <f t="shared" si="15"/>
        <v>0.19600000000000001</v>
      </c>
      <c r="R109" s="11">
        <f t="shared" si="12"/>
        <v>0.19600000000000001</v>
      </c>
    </row>
    <row r="110" spans="1:18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5" t="s">
        <v>464</v>
      </c>
      <c r="I110" s="12" t="s">
        <v>390</v>
      </c>
      <c r="J110" s="12" t="s">
        <v>22</v>
      </c>
      <c r="K110" s="12">
        <v>28</v>
      </c>
      <c r="L110" s="13"/>
      <c r="M110" s="11">
        <v>3.87</v>
      </c>
      <c r="N110" s="11">
        <f t="shared" si="13"/>
        <v>3.87</v>
      </c>
      <c r="O110" s="11">
        <v>1.82</v>
      </c>
      <c r="P110" s="11">
        <f t="shared" si="14"/>
        <v>1.82</v>
      </c>
      <c r="Q110" s="11">
        <f t="shared" si="15"/>
        <v>0.72800000000000009</v>
      </c>
      <c r="R110" s="11">
        <f t="shared" si="12"/>
        <v>0.72800000000000009</v>
      </c>
    </row>
    <row r="111" spans="1:18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5" t="s">
        <v>464</v>
      </c>
      <c r="I111" s="12" t="s">
        <v>390</v>
      </c>
      <c r="J111" s="12" t="s">
        <v>22</v>
      </c>
      <c r="K111" s="12">
        <v>28</v>
      </c>
      <c r="L111" s="13"/>
      <c r="M111" s="11">
        <v>3.87</v>
      </c>
      <c r="N111" s="11">
        <f t="shared" si="13"/>
        <v>3.87</v>
      </c>
      <c r="O111" s="11">
        <v>1.82</v>
      </c>
      <c r="P111" s="11">
        <f t="shared" si="14"/>
        <v>1.82</v>
      </c>
      <c r="Q111" s="11">
        <f t="shared" si="15"/>
        <v>0.72800000000000009</v>
      </c>
      <c r="R111" s="11">
        <f t="shared" si="12"/>
        <v>0.72800000000000009</v>
      </c>
    </row>
    <row r="112" spans="1:18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5" t="s">
        <v>395</v>
      </c>
      <c r="I112" s="12" t="s">
        <v>390</v>
      </c>
      <c r="J112" s="12" t="s">
        <v>6</v>
      </c>
      <c r="K112" s="12">
        <v>16</v>
      </c>
      <c r="L112" s="13"/>
      <c r="M112" s="11">
        <v>2.7</v>
      </c>
      <c r="N112" s="11">
        <f t="shared" si="13"/>
        <v>2.7</v>
      </c>
      <c r="O112" s="11">
        <v>1.35</v>
      </c>
      <c r="P112" s="11">
        <f t="shared" si="14"/>
        <v>1.35</v>
      </c>
      <c r="Q112" s="11">
        <f t="shared" si="15"/>
        <v>0.54</v>
      </c>
      <c r="R112" s="11">
        <f t="shared" si="12"/>
        <v>0.54</v>
      </c>
    </row>
    <row r="113" spans="1:18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5" t="s">
        <v>474</v>
      </c>
      <c r="I113" s="12" t="s">
        <v>390</v>
      </c>
      <c r="J113" s="12" t="s">
        <v>6</v>
      </c>
      <c r="K113" s="12">
        <v>3</v>
      </c>
      <c r="L113" s="13"/>
      <c r="M113" s="11">
        <v>0.94</v>
      </c>
      <c r="N113" s="11">
        <f t="shared" si="13"/>
        <v>0.94</v>
      </c>
      <c r="O113" s="11">
        <v>0.41</v>
      </c>
      <c r="P113" s="11">
        <f t="shared" si="14"/>
        <v>0.41</v>
      </c>
      <c r="Q113" s="11">
        <f t="shared" si="15"/>
        <v>0.16400000000000001</v>
      </c>
      <c r="R113" s="11">
        <f t="shared" si="12"/>
        <v>0.16400000000000001</v>
      </c>
    </row>
    <row r="114" spans="1:18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5" t="s">
        <v>480</v>
      </c>
      <c r="I114" s="12" t="s">
        <v>390</v>
      </c>
      <c r="J114" s="12" t="s">
        <v>6</v>
      </c>
      <c r="K114" s="12" t="s">
        <v>11</v>
      </c>
      <c r="L114" s="13"/>
      <c r="M114" s="11">
        <v>0.56999999999999995</v>
      </c>
      <c r="N114" s="11">
        <f t="shared" si="13"/>
        <v>0.56999999999999995</v>
      </c>
      <c r="O114" s="11">
        <v>0.38</v>
      </c>
      <c r="P114" s="11">
        <f t="shared" si="14"/>
        <v>0.38</v>
      </c>
      <c r="Q114" s="11">
        <f t="shared" si="15"/>
        <v>0.15200000000000002</v>
      </c>
      <c r="R114" s="11">
        <f t="shared" si="12"/>
        <v>0.15200000000000002</v>
      </c>
    </row>
    <row r="115" spans="1:18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5" t="s">
        <v>485</v>
      </c>
      <c r="I115" s="12" t="s">
        <v>486</v>
      </c>
      <c r="J115" s="12" t="s">
        <v>22</v>
      </c>
      <c r="K115" s="12">
        <v>8</v>
      </c>
      <c r="L115" s="13"/>
      <c r="M115" s="11">
        <v>0.23</v>
      </c>
      <c r="N115" s="11">
        <f t="shared" si="13"/>
        <v>0.69000000000000006</v>
      </c>
      <c r="O115" s="11">
        <v>0.158</v>
      </c>
      <c r="P115" s="11">
        <f t="shared" si="14"/>
        <v>0.47399999999999998</v>
      </c>
      <c r="Q115" s="11">
        <f t="shared" si="15"/>
        <v>6.3200000000000006E-2</v>
      </c>
      <c r="R115" s="11">
        <f t="shared" si="12"/>
        <v>0.18960000000000002</v>
      </c>
    </row>
    <row r="116" spans="1:18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5" t="s">
        <v>485</v>
      </c>
      <c r="I116" s="12" t="s">
        <v>486</v>
      </c>
      <c r="J116" s="12" t="s">
        <v>6</v>
      </c>
      <c r="K116" s="12">
        <v>8</v>
      </c>
      <c r="L116" s="13"/>
      <c r="M116" s="11">
        <v>0.28999999999999998</v>
      </c>
      <c r="N116" s="11">
        <f t="shared" si="13"/>
        <v>0.57999999999999996</v>
      </c>
      <c r="O116" s="11">
        <v>0.19900000000000001</v>
      </c>
      <c r="P116" s="11">
        <f t="shared" si="14"/>
        <v>0.39800000000000002</v>
      </c>
      <c r="Q116" s="11">
        <f t="shared" si="15"/>
        <v>7.9600000000000004E-2</v>
      </c>
      <c r="R116" s="11">
        <f t="shared" si="12"/>
        <v>0.15920000000000001</v>
      </c>
    </row>
    <row r="117" spans="1:18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5">
        <v>402</v>
      </c>
      <c r="I117" s="12" t="s">
        <v>232</v>
      </c>
      <c r="J117" s="12" t="s">
        <v>6</v>
      </c>
      <c r="K117" s="12">
        <v>15</v>
      </c>
      <c r="L117" s="13"/>
      <c r="M117" s="11">
        <v>0.1</v>
      </c>
      <c r="N117" s="11">
        <f t="shared" si="13"/>
        <v>0.1</v>
      </c>
      <c r="O117" s="11">
        <v>1.6570000000000001E-2</v>
      </c>
      <c r="P117" s="11">
        <f t="shared" si="14"/>
        <v>1.6570000000000001E-2</v>
      </c>
      <c r="Q117" s="11">
        <f t="shared" si="15"/>
        <v>6.6280000000000011E-3</v>
      </c>
      <c r="R117" s="11">
        <f t="shared" si="12"/>
        <v>6.6280000000000011E-3</v>
      </c>
    </row>
    <row r="118" spans="1:18" ht="37.5" x14ac:dyDescent="0.25">
      <c r="M118" s="27" t="s">
        <v>494</v>
      </c>
      <c r="N118" s="28">
        <f>SUM(N1:N116)</f>
        <v>205.48</v>
      </c>
      <c r="O118" s="27" t="s">
        <v>495</v>
      </c>
      <c r="P118" s="28">
        <f>SUM(P1:P116)</f>
        <v>122.95383999999996</v>
      </c>
      <c r="Q118" s="27" t="s">
        <v>496</v>
      </c>
      <c r="R118" s="29">
        <f>SUM(R1:R116)</f>
        <v>70.681536000000008</v>
      </c>
    </row>
    <row r="119" spans="1:18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30"/>
      <c r="I119" s="30"/>
      <c r="J119" s="30"/>
      <c r="K119" s="30"/>
      <c r="L119" s="31"/>
      <c r="M119" s="33"/>
      <c r="N119" s="33"/>
      <c r="O119" s="33"/>
      <c r="P119" s="33"/>
      <c r="Q119" s="33"/>
      <c r="R119" s="33"/>
    </row>
    <row r="120" spans="1:18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30"/>
      <c r="I120" s="30"/>
      <c r="J120" s="30"/>
      <c r="K120" s="30"/>
      <c r="L120" s="31"/>
      <c r="M120" s="33"/>
      <c r="N120" s="33"/>
      <c r="O120" s="33"/>
      <c r="P120" s="33"/>
      <c r="Q120" s="33"/>
      <c r="R120" s="33"/>
    </row>
  </sheetData>
  <autoFilter ref="A1:R118"/>
  <hyperlinks>
    <hyperlink ref="T45" r:id="rId1"/>
    <hyperlink ref="D56" r:id="rId2"/>
    <hyperlink ref="D58" r:id="rId3"/>
  </hyperlinks>
  <pageMargins left="0.75" right="0.75" top="1" bottom="1" header="0.511811023622047" footer="0.511811023622047"/>
  <pageSetup paperSize="9" orientation="portrait" horizontalDpi="300" verticalDpi="3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"/>
  <sheetViews>
    <sheetView workbookViewId="0">
      <selection activeCell="F20" sqref="F20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s="41" customFormat="1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2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Modified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Iftikhar Ahmed</cp:lastModifiedBy>
  <cp:revision>2</cp:revision>
  <dcterms:created xsi:type="dcterms:W3CDTF">2020-12-11T14:13:55Z</dcterms:created>
  <dcterms:modified xsi:type="dcterms:W3CDTF">2023-09-01T16:19:27Z</dcterms:modified>
  <dc:language>en-US</dc:language>
</cp:coreProperties>
</file>