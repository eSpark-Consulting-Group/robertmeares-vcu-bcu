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park-Consultants\robertMeares-VCU-BCU\"/>
    </mc:Choice>
  </mc:AlternateContent>
  <xr:revisionPtr revIDLastSave="0" documentId="13_ncr:1_{BA68FFA2-7790-4B9D-942C-3DAC75DE6286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SECONDARY_BOARD_V1.2" sheetId="1" r:id="rId1"/>
  </sheets>
  <definedNames>
    <definedName name="_xlnm._FilterDatabase" localSheetId="0" hidden="1">SECONDARY_BOARD_V1.2!$A$10:$T$37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S57" i="1" l="1"/>
  <c r="T57" i="1" s="1"/>
  <c r="R57" i="1"/>
  <c r="P57" i="1"/>
  <c r="T56" i="1"/>
  <c r="S56" i="1"/>
  <c r="R56" i="1"/>
  <c r="P56" i="1"/>
  <c r="S35" i="1"/>
  <c r="T35" i="1" s="1"/>
  <c r="R35" i="1"/>
  <c r="P35" i="1"/>
  <c r="S34" i="1"/>
  <c r="T34" i="1" s="1"/>
  <c r="R34" i="1"/>
  <c r="P34" i="1"/>
  <c r="S33" i="1"/>
  <c r="T33" i="1" s="1"/>
  <c r="R33" i="1"/>
  <c r="P33" i="1"/>
  <c r="S32" i="1"/>
  <c r="T32" i="1" s="1"/>
  <c r="R32" i="1"/>
  <c r="P32" i="1"/>
  <c r="S31" i="1"/>
  <c r="T31" i="1" s="1"/>
  <c r="R31" i="1"/>
  <c r="P31" i="1"/>
  <c r="S30" i="1"/>
  <c r="T30" i="1" s="1"/>
  <c r="R30" i="1"/>
  <c r="P30" i="1"/>
  <c r="S29" i="1"/>
  <c r="T29" i="1" s="1"/>
  <c r="R29" i="1"/>
  <c r="P29" i="1"/>
  <c r="S28" i="1"/>
  <c r="T28" i="1" s="1"/>
  <c r="R28" i="1"/>
  <c r="P28" i="1"/>
  <c r="S27" i="1"/>
  <c r="T27" i="1" s="1"/>
  <c r="R27" i="1"/>
  <c r="P27" i="1"/>
  <c r="S26" i="1"/>
  <c r="T26" i="1" s="1"/>
  <c r="R26" i="1"/>
  <c r="P26" i="1"/>
  <c r="S25" i="1"/>
  <c r="T25" i="1" s="1"/>
  <c r="R25" i="1"/>
  <c r="P25" i="1"/>
  <c r="S24" i="1"/>
  <c r="T24" i="1" s="1"/>
  <c r="R24" i="1"/>
  <c r="P24" i="1"/>
  <c r="S23" i="1"/>
  <c r="T23" i="1" s="1"/>
  <c r="R23" i="1"/>
  <c r="P23" i="1"/>
  <c r="S22" i="1"/>
  <c r="T22" i="1" s="1"/>
  <c r="R22" i="1"/>
  <c r="P22" i="1"/>
  <c r="S21" i="1"/>
  <c r="T21" i="1" s="1"/>
  <c r="R21" i="1"/>
  <c r="P21" i="1"/>
  <c r="S20" i="1"/>
  <c r="T20" i="1" s="1"/>
  <c r="R20" i="1"/>
  <c r="P20" i="1"/>
  <c r="S19" i="1"/>
  <c r="T19" i="1" s="1"/>
  <c r="R19" i="1"/>
  <c r="P19" i="1"/>
  <c r="S18" i="1"/>
  <c r="T18" i="1" s="1"/>
  <c r="R18" i="1"/>
  <c r="P18" i="1"/>
  <c r="S17" i="1"/>
  <c r="T17" i="1" s="1"/>
  <c r="R17" i="1"/>
  <c r="P17" i="1"/>
  <c r="S16" i="1"/>
  <c r="T16" i="1" s="1"/>
  <c r="R16" i="1"/>
  <c r="P16" i="1"/>
  <c r="S14" i="1"/>
  <c r="T14" i="1" s="1"/>
  <c r="R14" i="1"/>
  <c r="P14" i="1"/>
  <c r="S13" i="1"/>
  <c r="T13" i="1" s="1"/>
  <c r="R13" i="1"/>
  <c r="P13" i="1"/>
  <c r="S12" i="1"/>
  <c r="T12" i="1" s="1"/>
  <c r="R12" i="1"/>
  <c r="P12" i="1"/>
  <c r="S11" i="1"/>
  <c r="T11" i="1" s="1"/>
  <c r="R11" i="1"/>
  <c r="P11" i="1"/>
  <c r="P39" i="1" l="1"/>
  <c r="R39" i="1"/>
  <c r="T39" i="1"/>
</calcChain>
</file>

<file path=xl/sharedStrings.xml><?xml version="1.0" encoding="utf-8"?>
<sst xmlns="http://schemas.openxmlformats.org/spreadsheetml/2006/main" count="258" uniqueCount="170">
  <si>
    <t xml:space="preserve">Index  Revised: </t>
  </si>
  <si>
    <t xml:space="preserve">Revision: </t>
  </si>
  <si>
    <t>Created by :</t>
  </si>
  <si>
    <t>Suhas B</t>
  </si>
  <si>
    <t>V2.2</t>
  </si>
  <si>
    <t>DNP Q3,Q4,R38,R39</t>
  </si>
  <si>
    <t>V2.0</t>
  </si>
  <si>
    <t>Column I , J and K added for procrument of high lead time components</t>
  </si>
  <si>
    <t xml:space="preserve">Note : Column J " In stock " status can be vary base on components availability on websites like digikey and mouser </t>
  </si>
  <si>
    <t>Item</t>
  </si>
  <si>
    <t>Quantity</t>
  </si>
  <si>
    <t>Reference</t>
  </si>
  <si>
    <t>Value</t>
  </si>
  <si>
    <t>Description</t>
  </si>
  <si>
    <t>Manufacturere's p/n</t>
  </si>
  <si>
    <t>Manufacturer</t>
  </si>
  <si>
    <t>Package</t>
  </si>
  <si>
    <t>Component Type</t>
  </si>
  <si>
    <t>In Stock</t>
  </si>
  <si>
    <t>Lead time (weeks)</t>
  </si>
  <si>
    <t>DNP</t>
  </si>
  <si>
    <t>price per unit</t>
  </si>
  <si>
    <t xml:space="preserve">Total Price </t>
  </si>
  <si>
    <t>price per 1k units</t>
  </si>
  <si>
    <t>Total price</t>
  </si>
  <si>
    <t>Price per 100k units</t>
  </si>
  <si>
    <t>C1,C2,C4,C7,C8,C9,C11,C13,C18,C19,C20,C21,C22,C23,C24,C25,C33</t>
  </si>
  <si>
    <t>0.1uF</t>
  </si>
  <si>
    <t>CAP CER 0.1uF 16V 10% X7R 0402</t>
  </si>
  <si>
    <t>GRM155R71C104KA88J</t>
  </si>
  <si>
    <t>MURATA</t>
  </si>
  <si>
    <t>Capacitor</t>
  </si>
  <si>
    <t>Yes</t>
  </si>
  <si>
    <t>C22,C23,C24,C25</t>
  </si>
  <si>
    <t>C3</t>
  </si>
  <si>
    <t>22uF</t>
  </si>
  <si>
    <t>MLCC - SMD/SMT 22uF+/-20% 16V X5R</t>
  </si>
  <si>
    <t>CL10A226MO7JZNC</t>
  </si>
  <si>
    <t>SAMSUNG ELECTRO</t>
  </si>
  <si>
    <t>C5,C10,C12,C14,C34</t>
  </si>
  <si>
    <t>1uF</t>
  </si>
  <si>
    <t>CAP CER 1uF 25V 10% X7R 0603</t>
  </si>
  <si>
    <t>CGA3E1X7R1E105K080AC</t>
  </si>
  <si>
    <t>TDK</t>
  </si>
  <si>
    <t>C6,C15,C16,C17,C26,C27</t>
  </si>
  <si>
    <t>CAP CER 0.1UF 50V X7R 0603</t>
  </si>
  <si>
    <t>GRM188R72A104KA35D</t>
  </si>
  <si>
    <t>C30,C31,C32</t>
  </si>
  <si>
    <t>1nF</t>
  </si>
  <si>
    <t>CAP CER 1000PF 2KV X7R 1206</t>
  </si>
  <si>
    <t>CL31B102KJHNNNE</t>
  </si>
  <si>
    <t>Samsung Electro-Mechanics</t>
  </si>
  <si>
    <t>C31,C32</t>
  </si>
  <si>
    <t>D18,D19,D20,D21</t>
  </si>
  <si>
    <t>RRE07VTM6SFHTR</t>
  </si>
  <si>
    <t xml:space="preserve">RECTIFIER DIODES </t>
  </si>
  <si>
    <t>Rohm Semiconductor</t>
  </si>
  <si>
    <t>2-SMD, Flat Lead</t>
  </si>
  <si>
    <t>Diode</t>
  </si>
  <si>
    <t>D20,D21</t>
  </si>
  <si>
    <t>J1</t>
  </si>
  <si>
    <t>FX23-20S-0.5SV</t>
  </si>
  <si>
    <t>CONN RCPT 20POS SMD GOLD</t>
  </si>
  <si>
    <t xml:space="preserve"> Hirose Electric Co Ltd</t>
  </si>
  <si>
    <t>PTH/SMD</t>
  </si>
  <si>
    <t>Connector</t>
  </si>
  <si>
    <t>No</t>
  </si>
  <si>
    <t>J2</t>
  </si>
  <si>
    <t>MX23A18NF1</t>
  </si>
  <si>
    <t>Automotive Connectors 18P Std Pin Header</t>
  </si>
  <si>
    <t>JAE Electronics</t>
  </si>
  <si>
    <t>L16,L22</t>
  </si>
  <si>
    <t>220R@100MHz</t>
  </si>
  <si>
    <t>FERRITEBEAD SMD Z100MHZ=600OHM 2</t>
  </si>
  <si>
    <t>BLM21SP601SH1D</t>
  </si>
  <si>
    <t>Murata Electronics</t>
  </si>
  <si>
    <t>Inductor</t>
  </si>
  <si>
    <t>L18,L19,L20,L21</t>
  </si>
  <si>
    <t>MPZ2012S102AT000</t>
  </si>
  <si>
    <t>FERRITE BEAD 1 KOHM 0805 1LN</t>
  </si>
  <si>
    <t>TDK Corporation</t>
  </si>
  <si>
    <t>L20,L21</t>
  </si>
  <si>
    <t>L23,L24,L25,L26,L27</t>
  </si>
  <si>
    <t>BLM21AG121SZ1D</t>
  </si>
  <si>
    <t>Ferrite Beads 0805 120ohms 1000mA Auto Infotainment</t>
  </si>
  <si>
    <t>Q1,Q2</t>
  </si>
  <si>
    <t>TLX9000(TPL,F</t>
  </si>
  <si>
    <t>Transistor Output Optocouplers Transistor Coupler Automotive;</t>
  </si>
  <si>
    <t>Toshiba</t>
  </si>
  <si>
    <t>SO-4</t>
  </si>
  <si>
    <t>Transistor</t>
  </si>
  <si>
    <t>R1,R2,R3,R8,R9,R10,R15,R28,R29,R31,R33,R35,R37</t>
  </si>
  <si>
    <t>10K</t>
  </si>
  <si>
    <t>RES SMD 10K OHM 1% 1/10W 0603</t>
  </si>
  <si>
    <t>RCA060310K0FKEA</t>
  </si>
  <si>
    <t>Vishay Dale</t>
  </si>
  <si>
    <t>Resistor</t>
  </si>
  <si>
    <t>R1,R35,R37</t>
  </si>
  <si>
    <t>R17,R19</t>
  </si>
  <si>
    <t>1K</t>
  </si>
  <si>
    <t>RES SMD 1K OHM 0.1% 1/10W 0603</t>
  </si>
  <si>
    <t xml:space="preserve"> RT0603BRD071KL</t>
  </si>
  <si>
    <t xml:space="preserve"> Yageo</t>
  </si>
  <si>
    <t>R11,R12,R13,R14</t>
  </si>
  <si>
    <t>0E</t>
  </si>
  <si>
    <t>RES 0.0 OHM 1/16W 0402 SMD</t>
  </si>
  <si>
    <t>CRCW04020000Z0ED</t>
  </si>
  <si>
    <t>VISHAY</t>
  </si>
  <si>
    <t>R30,R32,R34,R36</t>
  </si>
  <si>
    <t>47K</t>
  </si>
  <si>
    <t>RES SMD 47K OHM 5% 1/10W 0603</t>
  </si>
  <si>
    <t>AC0603JR-0747KL</t>
  </si>
  <si>
    <t>Yageo</t>
  </si>
  <si>
    <t>R34,R36</t>
  </si>
  <si>
    <t>R16,R18</t>
  </si>
  <si>
    <t>Thick Film Resistors - SMD 1/10Watt 0ohms</t>
  </si>
  <si>
    <t>CRCW06030000Z0EAC</t>
  </si>
  <si>
    <t>Vishay / Dale</t>
  </si>
  <si>
    <t>U1</t>
  </si>
  <si>
    <t>TPS2024IDRQ1</t>
  </si>
  <si>
    <t>Power Switch ICs - Power Distribution Auto Cat Pwr-Dist Sw</t>
  </si>
  <si>
    <t>TI</t>
  </si>
  <si>
    <t>SOIC-8</t>
  </si>
  <si>
    <t>IC</t>
  </si>
  <si>
    <t>U2</t>
  </si>
  <si>
    <t>TCA6408AQPWRQ1</t>
  </si>
  <si>
    <t>Interface - I/O Expanders Automotive Low-Voltage 8-Bit I2C</t>
  </si>
  <si>
    <t>TSSOP-16</t>
  </si>
  <si>
    <t>U5</t>
  </si>
  <si>
    <t>TPL7407LADR</t>
  </si>
  <si>
    <t>Gate Drivers 30-V, 7-Channel NMOS Array Low-Side Driver</t>
  </si>
  <si>
    <t>SOP-16</t>
  </si>
  <si>
    <t>U11</t>
  </si>
  <si>
    <t>ADS1015IDGSR</t>
  </si>
  <si>
    <t>Analog to Digital Converters - ADC 12B ADC with Int MUX</t>
  </si>
  <si>
    <t>MSOP-10</t>
  </si>
  <si>
    <t>U12</t>
  </si>
  <si>
    <t>HDC2021DEBT</t>
  </si>
  <si>
    <t>Board Mount Humidity Sensors Low-power humidity and temperature digital sensor</t>
  </si>
  <si>
    <t>6-WSON</t>
  </si>
  <si>
    <t>U3,U4</t>
  </si>
  <si>
    <t>G6K-2F-Y-DC12</t>
  </si>
  <si>
    <t>Low Signal Relays - PCB Gullwing NoLatch 3.2 DPDT 12VDC 100mW</t>
  </si>
  <si>
    <t>Omron Electronics</t>
  </si>
  <si>
    <t>8-PIN RELAY</t>
  </si>
  <si>
    <t>U6,U13,U14</t>
  </si>
  <si>
    <t>G6L-1F-DC12</t>
  </si>
  <si>
    <t>Low Signal Relays - PCB LO PROF SPST 12VDC</t>
  </si>
  <si>
    <t>D22,D23,D24,D25,D26</t>
  </si>
  <si>
    <t>LL4148-GS08</t>
  </si>
  <si>
    <t>DIODE GEN PURP 75V 300MA SOD80</t>
  </si>
  <si>
    <t>Vishay Semiconductor</t>
  </si>
  <si>
    <t>Mini melf</t>
  </si>
  <si>
    <t>Q3,Q4</t>
  </si>
  <si>
    <t>SOT-23</t>
  </si>
  <si>
    <t>R38,R39</t>
  </si>
  <si>
    <t>Discussion of V2.2</t>
  </si>
  <si>
    <t>TOTAL</t>
  </si>
  <si>
    <t>Q3 and Q4 footprint in layout, schematic, and BOM all disagree.</t>
  </si>
  <si>
    <t>V2.1 FOOTPRINT FOR Q3, Q4</t>
  </si>
  <si>
    <t>V2.1 SCHEMATIC</t>
  </si>
  <si>
    <t xml:space="preserve">PINOUT FROM MMBT3904-TP DATASHEET </t>
  </si>
  <si>
    <t>Solution:</t>
  </si>
  <si>
    <t>DNP effected parts, could not find a sub.</t>
  </si>
  <si>
    <t>MMBT3904-TP</t>
  </si>
  <si>
    <t xml:space="preserve"> TRANS NPN 40V 0.2A SOT23</t>
  </si>
  <si>
    <t xml:space="preserve"> Micro Commercial Co</t>
  </si>
  <si>
    <t>1K2</t>
  </si>
  <si>
    <t xml:space="preserve"> RES SMD 1.2K OHM 1% 1/10W 0603</t>
  </si>
  <si>
    <t>RC0603FR-071K2L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</si>
</sst>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"/>
    <numFmt numFmtId="165" formatCode="\$#,##0.000;[Red]\$#,##0.000"/>
  </numFmts>
  <fonts count="7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2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sz val="11"/>
      <color rgb="FFFFFFFF"/>
      <name val="Calibri"/>
      <family val="2"/>
    </font>
    <font>
      <sz val="12"/>
      <color rgb="FFFFFFFF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8FAADC"/>
        <bgColor rgb="FF969696"/>
      </patternFill>
    </fill>
    <fill>
      <patternFill patternType="solid">
        <fgColor rgb="FFDAE3F3"/>
        <bgColor rgb="FFCCFFFF"/>
      </patternFill>
    </fill>
    <fill>
      <patternFill patternType="solid">
        <fgColor rgb="FFFF0000"/>
        <bgColor rgb="FF993300"/>
      </patternFill>
    </fill>
    <fill>
      <patternFill patternType="solid">
        <fgColor theme="9" tint="0.79998168889431442"/>
        <bgColor rgb="FFCCFFFF"/>
      </patternFill>
    </fill>
    <fill>
      <patternFill patternType="solid">
        <fgColor theme="9" tint="0.79998168889431442"/>
        <bgColor rgb="FF993300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165" fontId="3" fillId="3" borderId="1" xfId="0" applyNumberFormat="1" applyFont="1" applyFill="1" applyBorder="1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3" xfId="0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left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165" fontId="6" fillId="4" borderId="1" xfId="0" applyNumberFormat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5" fillId="4" borderId="8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/>
    <xf numFmtId="0" fontId="0" fillId="5" borderId="8" xfId="0" applyFill="1" applyBorder="1" applyAlignment="1">
      <alignment horizontal="left" vertical="center" wrapText="1"/>
    </xf>
    <xf numFmtId="0" fontId="4" fillId="6" borderId="8" xfId="0" applyFont="1" applyFill="1" applyBorder="1" applyAlignment="1">
      <alignment horizontal="left" vertical="center" wrapText="1"/>
    </xf>
    <xf numFmtId="0" fontId="5" fillId="6" borderId="8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FAADC"/>
      <rgbColor rgb="FF993366"/>
      <rgbColor rgb="FFFFFF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37080</xdr:colOff>
      <xdr:row>41</xdr:row>
      <xdr:rowOff>45360</xdr:rowOff>
    </xdr:from>
    <xdr:to>
      <xdr:col>7</xdr:col>
      <xdr:colOff>639943</xdr:colOff>
      <xdr:row>49</xdr:row>
      <xdr:rowOff>64080</xdr:rowOff>
    </xdr:to>
    <xdr:pic>
      <xdr:nvPicPr>
        <xdr:cNvPr id="2" name="Imag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816760" y="11044800"/>
          <a:ext cx="3800520" cy="154260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4</xdr:col>
      <xdr:colOff>34920</xdr:colOff>
      <xdr:row>41</xdr:row>
      <xdr:rowOff>25560</xdr:rowOff>
    </xdr:from>
    <xdr:to>
      <xdr:col>4</xdr:col>
      <xdr:colOff>2682720</xdr:colOff>
      <xdr:row>48</xdr:row>
      <xdr:rowOff>15840</xdr:rowOff>
    </xdr:to>
    <xdr:pic>
      <xdr:nvPicPr>
        <xdr:cNvPr id="3" name="Imag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5790600" y="11025000"/>
          <a:ext cx="2647800" cy="13237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0</xdr:col>
      <xdr:colOff>0</xdr:colOff>
      <xdr:row>40</xdr:row>
      <xdr:rowOff>144000</xdr:rowOff>
    </xdr:from>
    <xdr:to>
      <xdr:col>3</xdr:col>
      <xdr:colOff>934200</xdr:colOff>
      <xdr:row>52</xdr:row>
      <xdr:rowOff>120960</xdr:rowOff>
    </xdr:to>
    <xdr:pic>
      <xdr:nvPicPr>
        <xdr:cNvPr id="4" name="Imag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0" y="10968120"/>
          <a:ext cx="5419800" cy="22478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L57"/>
  <sheetViews>
    <sheetView tabSelected="1" zoomScale="85" zoomScaleNormal="85" workbookViewId="0">
      <selection activeCell="H15" sqref="H15"/>
    </sheetView>
  </sheetViews>
  <sheetFormatPr defaultColWidth="9.140625" defaultRowHeight="15" x14ac:dyDescent="0.25"/>
  <cols>
    <col min="1" max="1" width="17.85546875" style="6" customWidth="1"/>
    <col min="2" max="2" width="9.140625" style="6"/>
    <col min="3" max="3" width="36.5703125" style="6" customWidth="1"/>
    <col min="4" max="4" width="18" style="6" customWidth="1"/>
    <col min="5" max="5" width="42.85546875" style="6" customWidth="1"/>
    <col min="6" max="8" width="22.7109375" style="6" customWidth="1"/>
    <col min="9" max="9" width="22.140625" style="6" customWidth="1"/>
    <col min="10" max="13" width="11.5703125" style="6" customWidth="1"/>
    <col min="14" max="14" width="15.42578125" style="6" customWidth="1"/>
    <col min="15" max="16" width="11.5703125" style="6" customWidth="1"/>
    <col min="17" max="17" width="20.85546875" style="6" customWidth="1"/>
    <col min="18" max="20" width="11.5703125" style="6" customWidth="1"/>
    <col min="21" max="1026" width="9.140625" style="6"/>
  </cols>
  <sheetData>
    <row r="1" spans="1:20" x14ac:dyDescent="0.25">
      <c r="A1" s="7" t="s">
        <v>0</v>
      </c>
      <c r="B1" s="5">
        <v>44883</v>
      </c>
      <c r="C1" s="5"/>
      <c r="D1" s="5"/>
    </row>
    <row r="2" spans="1:20" x14ac:dyDescent="0.25">
      <c r="A2" s="7" t="s">
        <v>1</v>
      </c>
      <c r="B2" s="4">
        <v>2.2000000000000002</v>
      </c>
      <c r="C2" s="4"/>
      <c r="D2" s="4"/>
    </row>
    <row r="3" spans="1:20" x14ac:dyDescent="0.25">
      <c r="A3" s="7" t="s">
        <v>2</v>
      </c>
      <c r="B3" s="4" t="s">
        <v>3</v>
      </c>
      <c r="C3" s="4"/>
      <c r="D3" s="4"/>
    </row>
    <row r="4" spans="1:20" x14ac:dyDescent="0.25">
      <c r="A4" s="6" t="s">
        <v>4</v>
      </c>
      <c r="B4" s="3" t="s">
        <v>5</v>
      </c>
      <c r="C4" s="3"/>
      <c r="D4" s="3"/>
    </row>
    <row r="5" spans="1:20" ht="15" customHeight="1" x14ac:dyDescent="0.25">
      <c r="A5" s="7" t="s">
        <v>6</v>
      </c>
      <c r="B5" s="2" t="s">
        <v>7</v>
      </c>
      <c r="C5" s="2"/>
      <c r="D5" s="2"/>
    </row>
    <row r="6" spans="1:20" ht="33" customHeight="1" x14ac:dyDescent="0.25">
      <c r="A6" s="1" t="s">
        <v>8</v>
      </c>
      <c r="B6" s="1"/>
      <c r="C6" s="1"/>
      <c r="D6" s="1"/>
    </row>
    <row r="10" spans="1:20" ht="30" x14ac:dyDescent="0.25">
      <c r="A10" s="8" t="s">
        <v>9</v>
      </c>
      <c r="B10" s="9" t="s">
        <v>10</v>
      </c>
      <c r="C10" s="9" t="s">
        <v>11</v>
      </c>
      <c r="D10" s="9" t="s">
        <v>12</v>
      </c>
      <c r="E10" s="9" t="s">
        <v>13</v>
      </c>
      <c r="F10" s="9" t="s">
        <v>14</v>
      </c>
      <c r="G10" s="9"/>
      <c r="H10" s="9"/>
      <c r="I10" s="9" t="s">
        <v>15</v>
      </c>
      <c r="J10" s="10" t="s">
        <v>16</v>
      </c>
      <c r="K10" s="9" t="s">
        <v>17</v>
      </c>
      <c r="L10" s="9" t="s">
        <v>18</v>
      </c>
      <c r="M10" s="9" t="s">
        <v>19</v>
      </c>
      <c r="N10" s="11" t="s">
        <v>20</v>
      </c>
      <c r="O10" s="12" t="s">
        <v>21</v>
      </c>
      <c r="P10" s="12" t="s">
        <v>22</v>
      </c>
      <c r="Q10" s="12" t="s">
        <v>23</v>
      </c>
      <c r="R10" s="13" t="s">
        <v>24</v>
      </c>
      <c r="S10" s="13" t="s">
        <v>25</v>
      </c>
      <c r="T10" s="13" t="s">
        <v>24</v>
      </c>
    </row>
    <row r="11" spans="1:20" ht="30" x14ac:dyDescent="0.25">
      <c r="A11" s="14">
        <v>1</v>
      </c>
      <c r="B11" s="14">
        <v>17</v>
      </c>
      <c r="C11" s="15" t="s">
        <v>26</v>
      </c>
      <c r="D11" s="14" t="s">
        <v>27</v>
      </c>
      <c r="E11" s="14" t="s">
        <v>28</v>
      </c>
      <c r="F11" s="14" t="s">
        <v>29</v>
      </c>
      <c r="G11" s="40"/>
      <c r="H11" s="40"/>
      <c r="I11" s="16" t="s">
        <v>30</v>
      </c>
      <c r="J11" s="17">
        <v>402</v>
      </c>
      <c r="K11" s="16" t="s">
        <v>31</v>
      </c>
      <c r="L11" s="16" t="s">
        <v>32</v>
      </c>
      <c r="M11" s="16">
        <v>19</v>
      </c>
      <c r="N11" s="18" t="s">
        <v>33</v>
      </c>
      <c r="O11" s="19">
        <v>0.1</v>
      </c>
      <c r="P11" s="19">
        <f>B11*O11</f>
        <v>1.7000000000000002</v>
      </c>
      <c r="Q11" s="19">
        <v>8.9999999999999993E-3</v>
      </c>
      <c r="R11" s="19">
        <f>B11*Q11</f>
        <v>0.153</v>
      </c>
      <c r="S11" s="19">
        <f>0.4*Q11</f>
        <v>3.5999999999999999E-3</v>
      </c>
      <c r="T11" s="19">
        <f>B11*S11</f>
        <v>6.1199999999999997E-2</v>
      </c>
    </row>
    <row r="12" spans="1:20" ht="15.75" x14ac:dyDescent="0.25">
      <c r="A12" s="14">
        <v>2</v>
      </c>
      <c r="B12" s="14">
        <v>1</v>
      </c>
      <c r="C12" s="14" t="s">
        <v>34</v>
      </c>
      <c r="D12" s="14" t="s">
        <v>35</v>
      </c>
      <c r="E12" s="14" t="s">
        <v>36</v>
      </c>
      <c r="F12" s="14" t="s">
        <v>37</v>
      </c>
      <c r="G12" s="40"/>
      <c r="H12" s="40"/>
      <c r="I12" s="20" t="s">
        <v>38</v>
      </c>
      <c r="J12" s="21">
        <v>603</v>
      </c>
      <c r="K12" s="16" t="s">
        <v>31</v>
      </c>
      <c r="L12" s="20" t="s">
        <v>32</v>
      </c>
      <c r="M12" s="20">
        <v>28</v>
      </c>
      <c r="N12" s="22"/>
      <c r="O12" s="19">
        <v>0.7</v>
      </c>
      <c r="P12" s="19">
        <f>B12*O12</f>
        <v>0.7</v>
      </c>
      <c r="Q12" s="19">
        <v>0.2</v>
      </c>
      <c r="R12" s="19">
        <f>B12*Q12</f>
        <v>0.2</v>
      </c>
      <c r="S12" s="19">
        <f>0.4*Q12</f>
        <v>8.0000000000000016E-2</v>
      </c>
      <c r="T12" s="19">
        <f>B12*S12</f>
        <v>8.0000000000000016E-2</v>
      </c>
    </row>
    <row r="13" spans="1:20" ht="30" x14ac:dyDescent="0.25">
      <c r="A13" s="14">
        <v>3</v>
      </c>
      <c r="B13" s="14">
        <v>5</v>
      </c>
      <c r="C13" s="15" t="s">
        <v>39</v>
      </c>
      <c r="D13" s="14" t="s">
        <v>40</v>
      </c>
      <c r="E13" s="14" t="s">
        <v>41</v>
      </c>
      <c r="F13" s="14" t="s">
        <v>42</v>
      </c>
      <c r="G13" s="40"/>
      <c r="H13" s="40"/>
      <c r="I13" s="20" t="s">
        <v>43</v>
      </c>
      <c r="J13" s="21">
        <v>603</v>
      </c>
      <c r="K13" s="16" t="s">
        <v>31</v>
      </c>
      <c r="L13" s="20" t="s">
        <v>32</v>
      </c>
      <c r="M13" s="20">
        <v>14</v>
      </c>
      <c r="N13" s="22"/>
      <c r="O13" s="19">
        <v>0.17</v>
      </c>
      <c r="P13" s="19">
        <f>B13*O13</f>
        <v>0.85000000000000009</v>
      </c>
      <c r="Q13" s="19">
        <v>3.6999999999999998E-2</v>
      </c>
      <c r="R13" s="19">
        <f>B13*Q13</f>
        <v>0.185</v>
      </c>
      <c r="S13" s="19">
        <f>0.4*Q13</f>
        <v>1.4800000000000001E-2</v>
      </c>
      <c r="T13" s="19">
        <f>B13*S13</f>
        <v>7.400000000000001E-2</v>
      </c>
    </row>
    <row r="14" spans="1:20" ht="15.75" x14ac:dyDescent="0.25">
      <c r="A14" s="14">
        <v>4</v>
      </c>
      <c r="B14" s="14">
        <v>6</v>
      </c>
      <c r="C14" s="14" t="s">
        <v>44</v>
      </c>
      <c r="D14" s="14" t="s">
        <v>27</v>
      </c>
      <c r="E14" s="14" t="s">
        <v>45</v>
      </c>
      <c r="F14" s="14" t="s">
        <v>46</v>
      </c>
      <c r="G14" s="40"/>
      <c r="H14" s="40"/>
      <c r="I14" s="20" t="s">
        <v>30</v>
      </c>
      <c r="J14" s="21">
        <v>603</v>
      </c>
      <c r="K14" s="16" t="s">
        <v>31</v>
      </c>
      <c r="L14" s="20" t="s">
        <v>32</v>
      </c>
      <c r="M14" s="20">
        <v>31</v>
      </c>
      <c r="N14" s="22"/>
      <c r="O14" s="19">
        <v>0.28000000000000003</v>
      </c>
      <c r="P14" s="19">
        <f>B14*O14</f>
        <v>1.6800000000000002</v>
      </c>
      <c r="Q14" s="19">
        <v>0.06</v>
      </c>
      <c r="R14" s="19">
        <f>B14*Q14</f>
        <v>0.36</v>
      </c>
      <c r="S14" s="19">
        <f>0.4*Q14</f>
        <v>2.4E-2</v>
      </c>
      <c r="T14" s="19">
        <f>B14*S14</f>
        <v>0.14400000000000002</v>
      </c>
    </row>
    <row r="15" spans="1:20" ht="28.5" customHeight="1" x14ac:dyDescent="0.25">
      <c r="A15" s="14">
        <v>5</v>
      </c>
      <c r="B15" s="14">
        <v>3</v>
      </c>
      <c r="C15" s="14" t="s">
        <v>47</v>
      </c>
      <c r="D15" s="14" t="s">
        <v>48</v>
      </c>
      <c r="E15" s="14" t="s">
        <v>49</v>
      </c>
      <c r="F15" s="14" t="s">
        <v>50</v>
      </c>
      <c r="G15" s="40"/>
      <c r="H15" s="40"/>
      <c r="I15" s="20" t="s">
        <v>51</v>
      </c>
      <c r="J15" s="21">
        <v>1206</v>
      </c>
      <c r="K15" s="16" t="s">
        <v>31</v>
      </c>
      <c r="L15" s="20" t="s">
        <v>32</v>
      </c>
      <c r="M15" s="20">
        <v>28</v>
      </c>
      <c r="N15" s="22" t="s">
        <v>52</v>
      </c>
      <c r="O15" s="19"/>
      <c r="P15" s="19"/>
      <c r="Q15" s="19"/>
      <c r="R15" s="19"/>
      <c r="S15" s="19"/>
      <c r="T15" s="19"/>
    </row>
    <row r="16" spans="1:20" ht="30" x14ac:dyDescent="0.25">
      <c r="A16" s="14">
        <v>6</v>
      </c>
      <c r="B16" s="14">
        <v>4</v>
      </c>
      <c r="C16" s="14" t="s">
        <v>53</v>
      </c>
      <c r="D16" s="14" t="s">
        <v>54</v>
      </c>
      <c r="E16" s="14" t="s">
        <v>55</v>
      </c>
      <c r="F16" s="14" t="s">
        <v>54</v>
      </c>
      <c r="G16" s="40"/>
      <c r="H16" s="40"/>
      <c r="I16" s="23" t="s">
        <v>56</v>
      </c>
      <c r="J16" s="21" t="s">
        <v>57</v>
      </c>
      <c r="K16" s="20" t="s">
        <v>58</v>
      </c>
      <c r="L16" s="20" t="s">
        <v>32</v>
      </c>
      <c r="M16" s="20">
        <v>15</v>
      </c>
      <c r="N16" s="24" t="s">
        <v>59</v>
      </c>
      <c r="O16" s="19">
        <v>0.37</v>
      </c>
      <c r="P16" s="19">
        <f t="shared" ref="P16:P35" si="0">B16*O16</f>
        <v>1.48</v>
      </c>
      <c r="Q16" s="19">
        <v>0.09</v>
      </c>
      <c r="R16" s="19">
        <f t="shared" ref="R16:R34" si="1">B16*Q16</f>
        <v>0.36</v>
      </c>
      <c r="S16" s="19">
        <f t="shared" ref="S16:S34" si="2">0.4*Q16</f>
        <v>3.5999999999999997E-2</v>
      </c>
      <c r="T16" s="19">
        <f t="shared" ref="T16:T35" si="3">B16*S16</f>
        <v>0.14399999999999999</v>
      </c>
    </row>
    <row r="17" spans="1:20" ht="15.75" x14ac:dyDescent="0.25">
      <c r="A17" s="14">
        <v>7</v>
      </c>
      <c r="B17" s="14">
        <v>1</v>
      </c>
      <c r="C17" s="14" t="s">
        <v>60</v>
      </c>
      <c r="D17" s="14" t="s">
        <v>61</v>
      </c>
      <c r="E17" s="14" t="s">
        <v>62</v>
      </c>
      <c r="F17" s="14" t="s">
        <v>61</v>
      </c>
      <c r="G17" s="40"/>
      <c r="H17" s="40"/>
      <c r="I17" s="20" t="s">
        <v>63</v>
      </c>
      <c r="J17" s="21" t="s">
        <v>64</v>
      </c>
      <c r="K17" s="20" t="s">
        <v>65</v>
      </c>
      <c r="L17" s="20" t="s">
        <v>66</v>
      </c>
      <c r="M17" s="20">
        <v>12</v>
      </c>
      <c r="N17" s="22"/>
      <c r="O17" s="19">
        <v>2.7</v>
      </c>
      <c r="P17" s="19">
        <f t="shared" si="0"/>
        <v>2.7</v>
      </c>
      <c r="Q17" s="19">
        <v>1.45</v>
      </c>
      <c r="R17" s="19">
        <f t="shared" si="1"/>
        <v>1.45</v>
      </c>
      <c r="S17" s="19">
        <f t="shared" si="2"/>
        <v>0.57999999999999996</v>
      </c>
      <c r="T17" s="19">
        <f t="shared" si="3"/>
        <v>0.57999999999999996</v>
      </c>
    </row>
    <row r="18" spans="1:20" ht="15.75" x14ac:dyDescent="0.25">
      <c r="A18" s="14">
        <v>8</v>
      </c>
      <c r="B18" s="14">
        <v>1</v>
      </c>
      <c r="C18" s="14" t="s">
        <v>67</v>
      </c>
      <c r="D18" s="14" t="s">
        <v>68</v>
      </c>
      <c r="E18" s="14" t="s">
        <v>69</v>
      </c>
      <c r="F18" s="14" t="s">
        <v>68</v>
      </c>
      <c r="G18" s="40"/>
      <c r="H18" s="40"/>
      <c r="I18" s="20" t="s">
        <v>70</v>
      </c>
      <c r="J18" s="21"/>
      <c r="K18" s="20" t="s">
        <v>65</v>
      </c>
      <c r="L18" s="20" t="s">
        <v>32</v>
      </c>
      <c r="M18" s="20">
        <v>17</v>
      </c>
      <c r="N18" s="22"/>
      <c r="O18" s="19">
        <v>8.23</v>
      </c>
      <c r="P18" s="19">
        <f t="shared" si="0"/>
        <v>8.23</v>
      </c>
      <c r="Q18" s="19">
        <v>4.9000000000000004</v>
      </c>
      <c r="R18" s="19">
        <f t="shared" si="1"/>
        <v>4.9000000000000004</v>
      </c>
      <c r="S18" s="19">
        <f t="shared" si="2"/>
        <v>1.9600000000000002</v>
      </c>
      <c r="T18" s="19">
        <f t="shared" si="3"/>
        <v>1.9600000000000002</v>
      </c>
    </row>
    <row r="19" spans="1:20" ht="15.75" x14ac:dyDescent="0.25">
      <c r="A19" s="14">
        <v>9</v>
      </c>
      <c r="B19" s="14">
        <v>2</v>
      </c>
      <c r="C19" s="14" t="s">
        <v>71</v>
      </c>
      <c r="D19" s="14" t="s">
        <v>72</v>
      </c>
      <c r="E19" s="14" t="s">
        <v>73</v>
      </c>
      <c r="F19" s="14" t="s">
        <v>74</v>
      </c>
      <c r="G19" s="40"/>
      <c r="H19" s="40"/>
      <c r="I19" s="20" t="s">
        <v>75</v>
      </c>
      <c r="J19" s="21">
        <v>805</v>
      </c>
      <c r="K19" s="20" t="s">
        <v>76</v>
      </c>
      <c r="L19" s="20" t="s">
        <v>32</v>
      </c>
      <c r="M19" s="20">
        <v>19</v>
      </c>
      <c r="N19" s="22"/>
      <c r="O19" s="19">
        <v>0.28999999999999998</v>
      </c>
      <c r="P19" s="19">
        <f t="shared" si="0"/>
        <v>0.57999999999999996</v>
      </c>
      <c r="Q19" s="19">
        <v>0.09</v>
      </c>
      <c r="R19" s="19">
        <f t="shared" si="1"/>
        <v>0.18</v>
      </c>
      <c r="S19" s="19">
        <f t="shared" si="2"/>
        <v>3.5999999999999997E-2</v>
      </c>
      <c r="T19" s="19">
        <f t="shared" si="3"/>
        <v>7.1999999999999995E-2</v>
      </c>
    </row>
    <row r="20" spans="1:20" ht="30" x14ac:dyDescent="0.25">
      <c r="A20" s="14">
        <v>10</v>
      </c>
      <c r="B20" s="14">
        <v>4</v>
      </c>
      <c r="C20" s="14" t="s">
        <v>77</v>
      </c>
      <c r="D20" s="14" t="s">
        <v>78</v>
      </c>
      <c r="E20" s="14" t="s">
        <v>79</v>
      </c>
      <c r="F20" s="14" t="s">
        <v>78</v>
      </c>
      <c r="G20" s="40"/>
      <c r="H20" s="40"/>
      <c r="I20" s="20" t="s">
        <v>80</v>
      </c>
      <c r="J20" s="21">
        <v>805</v>
      </c>
      <c r="K20" s="20" t="s">
        <v>76</v>
      </c>
      <c r="L20" s="20" t="s">
        <v>66</v>
      </c>
      <c r="M20" s="20">
        <v>10</v>
      </c>
      <c r="N20" s="22" t="s">
        <v>81</v>
      </c>
      <c r="O20" s="19">
        <v>0.11</v>
      </c>
      <c r="P20" s="19">
        <f t="shared" si="0"/>
        <v>0.44</v>
      </c>
      <c r="Q20" s="19">
        <v>2.9000000000000001E-2</v>
      </c>
      <c r="R20" s="19">
        <f t="shared" si="1"/>
        <v>0.11600000000000001</v>
      </c>
      <c r="S20" s="19">
        <f t="shared" si="2"/>
        <v>1.1600000000000001E-2</v>
      </c>
      <c r="T20" s="19">
        <f t="shared" si="3"/>
        <v>4.6400000000000004E-2</v>
      </c>
    </row>
    <row r="21" spans="1:20" ht="30" x14ac:dyDescent="0.25">
      <c r="A21" s="14">
        <v>11</v>
      </c>
      <c r="B21" s="14">
        <v>5</v>
      </c>
      <c r="C21" s="14" t="s">
        <v>82</v>
      </c>
      <c r="D21" s="14" t="s">
        <v>83</v>
      </c>
      <c r="E21" s="14" t="s">
        <v>84</v>
      </c>
      <c r="F21" s="14" t="s">
        <v>83</v>
      </c>
      <c r="G21" s="40"/>
      <c r="H21" s="40"/>
      <c r="I21" s="20" t="s">
        <v>75</v>
      </c>
      <c r="J21" s="21">
        <v>805</v>
      </c>
      <c r="K21" s="20" t="s">
        <v>76</v>
      </c>
      <c r="L21" s="20" t="s">
        <v>32</v>
      </c>
      <c r="M21" s="20">
        <v>8</v>
      </c>
      <c r="N21" s="22"/>
      <c r="O21" s="19">
        <v>0.14000000000000001</v>
      </c>
      <c r="P21" s="19">
        <f t="shared" si="0"/>
        <v>0.70000000000000007</v>
      </c>
      <c r="Q21" s="19">
        <v>0.04</v>
      </c>
      <c r="R21" s="19">
        <f t="shared" si="1"/>
        <v>0.2</v>
      </c>
      <c r="S21" s="19">
        <f t="shared" si="2"/>
        <v>1.6E-2</v>
      </c>
      <c r="T21" s="19">
        <f t="shared" si="3"/>
        <v>0.08</v>
      </c>
    </row>
    <row r="22" spans="1:20" ht="30" x14ac:dyDescent="0.25">
      <c r="A22" s="14">
        <v>12</v>
      </c>
      <c r="B22" s="14">
        <v>2</v>
      </c>
      <c r="C22" s="14" t="s">
        <v>85</v>
      </c>
      <c r="D22" s="14" t="s">
        <v>86</v>
      </c>
      <c r="E22" s="14" t="s">
        <v>87</v>
      </c>
      <c r="F22" s="14" t="s">
        <v>86</v>
      </c>
      <c r="G22" s="40"/>
      <c r="H22" s="40"/>
      <c r="I22" s="20" t="s">
        <v>88</v>
      </c>
      <c r="J22" s="21" t="s">
        <v>89</v>
      </c>
      <c r="K22" s="20" t="s">
        <v>90</v>
      </c>
      <c r="L22" s="20" t="s">
        <v>32</v>
      </c>
      <c r="M22" s="20">
        <v>7</v>
      </c>
      <c r="N22" s="22"/>
      <c r="O22" s="19">
        <v>2.9</v>
      </c>
      <c r="P22" s="19">
        <f t="shared" si="0"/>
        <v>5.8</v>
      </c>
      <c r="Q22" s="19">
        <v>1.1000000000000001</v>
      </c>
      <c r="R22" s="19">
        <f t="shared" si="1"/>
        <v>2.2000000000000002</v>
      </c>
      <c r="S22" s="19">
        <f t="shared" si="2"/>
        <v>0.44000000000000006</v>
      </c>
      <c r="T22" s="19">
        <f t="shared" si="3"/>
        <v>0.88000000000000012</v>
      </c>
    </row>
    <row r="23" spans="1:20" ht="30" x14ac:dyDescent="0.25">
      <c r="A23" s="14">
        <v>13</v>
      </c>
      <c r="B23" s="14">
        <v>13</v>
      </c>
      <c r="C23" s="14" t="s">
        <v>91</v>
      </c>
      <c r="D23" s="14" t="s">
        <v>92</v>
      </c>
      <c r="E23" s="14" t="s">
        <v>93</v>
      </c>
      <c r="F23" s="14" t="s">
        <v>94</v>
      </c>
      <c r="G23" s="40"/>
      <c r="H23" s="40"/>
      <c r="I23" s="20" t="s">
        <v>95</v>
      </c>
      <c r="J23" s="21">
        <v>603</v>
      </c>
      <c r="K23" s="20" t="s">
        <v>96</v>
      </c>
      <c r="L23" s="20" t="s">
        <v>32</v>
      </c>
      <c r="M23" s="20">
        <v>14</v>
      </c>
      <c r="N23" s="22" t="s">
        <v>97</v>
      </c>
      <c r="O23" s="19">
        <v>0.1</v>
      </c>
      <c r="P23" s="19">
        <f t="shared" si="0"/>
        <v>1.3</v>
      </c>
      <c r="Q23" s="19">
        <v>0.01</v>
      </c>
      <c r="R23" s="19">
        <f t="shared" si="1"/>
        <v>0.13</v>
      </c>
      <c r="S23" s="19">
        <f t="shared" si="2"/>
        <v>4.0000000000000001E-3</v>
      </c>
      <c r="T23" s="19">
        <f t="shared" si="3"/>
        <v>5.2000000000000005E-2</v>
      </c>
    </row>
    <row r="24" spans="1:20" ht="15.75" x14ac:dyDescent="0.25">
      <c r="A24" s="14">
        <v>14</v>
      </c>
      <c r="B24" s="14">
        <v>2</v>
      </c>
      <c r="C24" s="14" t="s">
        <v>98</v>
      </c>
      <c r="D24" s="14" t="s">
        <v>99</v>
      </c>
      <c r="E24" s="14" t="s">
        <v>100</v>
      </c>
      <c r="F24" s="14" t="s">
        <v>101</v>
      </c>
      <c r="G24" s="40"/>
      <c r="H24" s="40"/>
      <c r="I24" s="20" t="s">
        <v>102</v>
      </c>
      <c r="J24" s="21">
        <v>603</v>
      </c>
      <c r="K24" s="20" t="s">
        <v>96</v>
      </c>
      <c r="L24" s="20" t="s">
        <v>32</v>
      </c>
      <c r="M24" s="20">
        <v>24</v>
      </c>
      <c r="N24" s="22"/>
      <c r="O24" s="19">
        <v>0.1</v>
      </c>
      <c r="P24" s="19">
        <f t="shared" si="0"/>
        <v>0.2</v>
      </c>
      <c r="Q24" s="19">
        <v>0.04</v>
      </c>
      <c r="R24" s="19">
        <f t="shared" si="1"/>
        <v>0.08</v>
      </c>
      <c r="S24" s="19">
        <f t="shared" si="2"/>
        <v>1.6E-2</v>
      </c>
      <c r="T24" s="19">
        <f t="shared" si="3"/>
        <v>3.2000000000000001E-2</v>
      </c>
    </row>
    <row r="25" spans="1:20" ht="15.75" x14ac:dyDescent="0.25">
      <c r="A25" s="14">
        <v>15</v>
      </c>
      <c r="B25" s="14">
        <v>4</v>
      </c>
      <c r="C25" s="14" t="s">
        <v>103</v>
      </c>
      <c r="D25" s="14" t="s">
        <v>104</v>
      </c>
      <c r="E25" s="14" t="s">
        <v>105</v>
      </c>
      <c r="F25" s="14" t="s">
        <v>106</v>
      </c>
      <c r="G25" s="40"/>
      <c r="H25" s="40"/>
      <c r="I25" s="20" t="s">
        <v>107</v>
      </c>
      <c r="J25" s="21">
        <v>402</v>
      </c>
      <c r="K25" s="20" t="s">
        <v>96</v>
      </c>
      <c r="L25" s="20" t="s">
        <v>32</v>
      </c>
      <c r="M25" s="20">
        <v>35</v>
      </c>
      <c r="N25" s="22"/>
      <c r="O25" s="19">
        <v>0.1</v>
      </c>
      <c r="P25" s="19">
        <f t="shared" si="0"/>
        <v>0.4</v>
      </c>
      <c r="Q25" s="19">
        <v>5.0000000000000001E-3</v>
      </c>
      <c r="R25" s="19">
        <f t="shared" si="1"/>
        <v>0.02</v>
      </c>
      <c r="S25" s="19">
        <f t="shared" si="2"/>
        <v>2E-3</v>
      </c>
      <c r="T25" s="19">
        <f t="shared" si="3"/>
        <v>8.0000000000000002E-3</v>
      </c>
    </row>
    <row r="26" spans="1:20" ht="15.75" x14ac:dyDescent="0.25">
      <c r="A26" s="14">
        <v>16</v>
      </c>
      <c r="B26" s="14">
        <v>4</v>
      </c>
      <c r="C26" s="14" t="s">
        <v>108</v>
      </c>
      <c r="D26" s="14" t="s">
        <v>109</v>
      </c>
      <c r="E26" s="14" t="s">
        <v>110</v>
      </c>
      <c r="F26" s="14" t="s">
        <v>111</v>
      </c>
      <c r="G26" s="40"/>
      <c r="H26" s="40"/>
      <c r="I26" s="20" t="s">
        <v>112</v>
      </c>
      <c r="J26" s="21">
        <v>603</v>
      </c>
      <c r="K26" s="20" t="s">
        <v>96</v>
      </c>
      <c r="L26" s="20" t="s">
        <v>32</v>
      </c>
      <c r="M26" s="20">
        <v>29</v>
      </c>
      <c r="N26" s="22" t="s">
        <v>113</v>
      </c>
      <c r="O26" s="19">
        <v>0.1</v>
      </c>
      <c r="P26" s="19">
        <f t="shared" si="0"/>
        <v>0.4</v>
      </c>
      <c r="Q26" s="19">
        <v>5.0000000000000001E-3</v>
      </c>
      <c r="R26" s="19">
        <f t="shared" si="1"/>
        <v>0.02</v>
      </c>
      <c r="S26" s="19">
        <f t="shared" si="2"/>
        <v>2E-3</v>
      </c>
      <c r="T26" s="19">
        <f t="shared" si="3"/>
        <v>8.0000000000000002E-3</v>
      </c>
    </row>
    <row r="27" spans="1:20" ht="15.75" x14ac:dyDescent="0.25">
      <c r="A27" s="14">
        <v>17</v>
      </c>
      <c r="B27" s="14">
        <v>2</v>
      </c>
      <c r="C27" s="14" t="s">
        <v>114</v>
      </c>
      <c r="D27" s="14" t="s">
        <v>20</v>
      </c>
      <c r="E27" s="14" t="s">
        <v>115</v>
      </c>
      <c r="F27" s="14" t="s">
        <v>116</v>
      </c>
      <c r="G27" s="40"/>
      <c r="H27" s="40"/>
      <c r="I27" s="20" t="s">
        <v>117</v>
      </c>
      <c r="J27" s="21">
        <v>603</v>
      </c>
      <c r="K27" s="20" t="s">
        <v>96</v>
      </c>
      <c r="L27" s="20" t="s">
        <v>32</v>
      </c>
      <c r="M27" s="20">
        <v>24</v>
      </c>
      <c r="N27" s="22" t="s">
        <v>114</v>
      </c>
      <c r="O27" s="19">
        <v>0.1</v>
      </c>
      <c r="P27" s="19">
        <f t="shared" si="0"/>
        <v>0.2</v>
      </c>
      <c r="Q27" s="19">
        <v>5.0000000000000001E-3</v>
      </c>
      <c r="R27" s="19">
        <f t="shared" si="1"/>
        <v>0.01</v>
      </c>
      <c r="S27" s="19">
        <f t="shared" si="2"/>
        <v>2E-3</v>
      </c>
      <c r="T27" s="19">
        <f t="shared" si="3"/>
        <v>4.0000000000000001E-3</v>
      </c>
    </row>
    <row r="28" spans="1:20" ht="30" x14ac:dyDescent="0.25">
      <c r="A28" s="14">
        <v>18</v>
      </c>
      <c r="B28" s="14">
        <v>1</v>
      </c>
      <c r="C28" s="14" t="s">
        <v>118</v>
      </c>
      <c r="D28" s="14" t="s">
        <v>119</v>
      </c>
      <c r="E28" s="14" t="s">
        <v>120</v>
      </c>
      <c r="F28" s="14" t="s">
        <v>119</v>
      </c>
      <c r="G28" s="40"/>
      <c r="H28" s="40"/>
      <c r="I28" s="20" t="s">
        <v>121</v>
      </c>
      <c r="J28" s="21" t="s">
        <v>122</v>
      </c>
      <c r="K28" s="20" t="s">
        <v>123</v>
      </c>
      <c r="L28" s="20" t="s">
        <v>32</v>
      </c>
      <c r="M28" s="20">
        <v>16</v>
      </c>
      <c r="N28" s="22"/>
      <c r="O28" s="19">
        <v>2.46</v>
      </c>
      <c r="P28" s="19">
        <f t="shared" si="0"/>
        <v>2.46</v>
      </c>
      <c r="Q28" s="19">
        <v>1.1299999999999999</v>
      </c>
      <c r="R28" s="19">
        <f t="shared" si="1"/>
        <v>1.1299999999999999</v>
      </c>
      <c r="S28" s="19">
        <f t="shared" si="2"/>
        <v>0.45199999999999996</v>
      </c>
      <c r="T28" s="19">
        <f t="shared" si="3"/>
        <v>0.45199999999999996</v>
      </c>
    </row>
    <row r="29" spans="1:20" ht="30" x14ac:dyDescent="0.25">
      <c r="A29" s="14">
        <v>19</v>
      </c>
      <c r="B29" s="14">
        <v>1</v>
      </c>
      <c r="C29" s="14" t="s">
        <v>124</v>
      </c>
      <c r="D29" s="14" t="s">
        <v>125</v>
      </c>
      <c r="E29" s="14" t="s">
        <v>126</v>
      </c>
      <c r="F29" s="14" t="s">
        <v>125</v>
      </c>
      <c r="G29" s="40"/>
      <c r="H29" s="40"/>
      <c r="I29" s="20" t="s">
        <v>121</v>
      </c>
      <c r="J29" s="21" t="s">
        <v>127</v>
      </c>
      <c r="K29" s="20" t="s">
        <v>123</v>
      </c>
      <c r="L29" s="20" t="s">
        <v>32</v>
      </c>
      <c r="M29" s="20">
        <v>6</v>
      </c>
      <c r="N29" s="22"/>
      <c r="O29" s="19">
        <v>1.6</v>
      </c>
      <c r="P29" s="19">
        <f t="shared" si="0"/>
        <v>1.6</v>
      </c>
      <c r="Q29" s="19">
        <v>0.6</v>
      </c>
      <c r="R29" s="19">
        <f t="shared" si="1"/>
        <v>0.6</v>
      </c>
      <c r="S29" s="19">
        <f t="shared" si="2"/>
        <v>0.24</v>
      </c>
      <c r="T29" s="19">
        <f t="shared" si="3"/>
        <v>0.24</v>
      </c>
    </row>
    <row r="30" spans="1:20" ht="30" x14ac:dyDescent="0.25">
      <c r="A30" s="14">
        <v>20</v>
      </c>
      <c r="B30" s="14">
        <v>1</v>
      </c>
      <c r="C30" s="14" t="s">
        <v>128</v>
      </c>
      <c r="D30" s="14" t="s">
        <v>129</v>
      </c>
      <c r="E30" s="14" t="s">
        <v>130</v>
      </c>
      <c r="F30" s="14" t="s">
        <v>129</v>
      </c>
      <c r="G30" s="40"/>
      <c r="H30" s="40"/>
      <c r="I30" s="20" t="s">
        <v>121</v>
      </c>
      <c r="J30" s="21" t="s">
        <v>131</v>
      </c>
      <c r="K30" s="20" t="s">
        <v>123</v>
      </c>
      <c r="L30" s="20" t="s">
        <v>32</v>
      </c>
      <c r="M30" s="20">
        <v>6</v>
      </c>
      <c r="N30" s="22"/>
      <c r="O30" s="19">
        <v>0.63</v>
      </c>
      <c r="P30" s="19">
        <f t="shared" si="0"/>
        <v>0.63</v>
      </c>
      <c r="Q30" s="19">
        <v>0.2</v>
      </c>
      <c r="R30" s="19">
        <f t="shared" si="1"/>
        <v>0.2</v>
      </c>
      <c r="S30" s="19">
        <f t="shared" si="2"/>
        <v>8.0000000000000016E-2</v>
      </c>
      <c r="T30" s="19">
        <f t="shared" si="3"/>
        <v>8.0000000000000016E-2</v>
      </c>
    </row>
    <row r="31" spans="1:20" ht="30" x14ac:dyDescent="0.25">
      <c r="A31" s="14">
        <v>21</v>
      </c>
      <c r="B31" s="14">
        <v>1</v>
      </c>
      <c r="C31" s="14" t="s">
        <v>132</v>
      </c>
      <c r="D31" s="14" t="s">
        <v>133</v>
      </c>
      <c r="E31" s="14" t="s">
        <v>134</v>
      </c>
      <c r="F31" s="14" t="s">
        <v>133</v>
      </c>
      <c r="G31" s="40"/>
      <c r="H31" s="40"/>
      <c r="I31" s="20" t="s">
        <v>121</v>
      </c>
      <c r="J31" s="21" t="s">
        <v>135</v>
      </c>
      <c r="K31" s="20" t="s">
        <v>123</v>
      </c>
      <c r="L31" s="20" t="s">
        <v>32</v>
      </c>
      <c r="M31" s="20">
        <v>35</v>
      </c>
      <c r="N31" s="22"/>
      <c r="O31" s="19">
        <v>2.66</v>
      </c>
      <c r="P31" s="19">
        <f t="shared" si="0"/>
        <v>2.66</v>
      </c>
      <c r="Q31" s="19">
        <v>1.33</v>
      </c>
      <c r="R31" s="19">
        <f t="shared" si="1"/>
        <v>1.33</v>
      </c>
      <c r="S31" s="19">
        <f t="shared" si="2"/>
        <v>0.53200000000000003</v>
      </c>
      <c r="T31" s="19">
        <f t="shared" si="3"/>
        <v>0.53200000000000003</v>
      </c>
    </row>
    <row r="32" spans="1:20" ht="30" x14ac:dyDescent="0.25">
      <c r="A32" s="14">
        <v>22</v>
      </c>
      <c r="B32" s="14">
        <v>1</v>
      </c>
      <c r="C32" s="14" t="s">
        <v>136</v>
      </c>
      <c r="D32" s="14" t="s">
        <v>137</v>
      </c>
      <c r="E32" s="14" t="s">
        <v>138</v>
      </c>
      <c r="F32" s="14" t="s">
        <v>137</v>
      </c>
      <c r="G32" s="40"/>
      <c r="H32" s="40"/>
      <c r="I32" s="20" t="s">
        <v>121</v>
      </c>
      <c r="J32" s="21" t="s">
        <v>139</v>
      </c>
      <c r="K32" s="20" t="s">
        <v>123</v>
      </c>
      <c r="L32" s="20" t="s">
        <v>32</v>
      </c>
      <c r="M32" s="20">
        <v>6</v>
      </c>
      <c r="N32" s="22"/>
      <c r="O32" s="19">
        <v>4.5599999999999996</v>
      </c>
      <c r="P32" s="19">
        <f t="shared" si="0"/>
        <v>4.5599999999999996</v>
      </c>
      <c r="Q32" s="19">
        <v>2.2999999999999998</v>
      </c>
      <c r="R32" s="19">
        <f t="shared" si="1"/>
        <v>2.2999999999999998</v>
      </c>
      <c r="S32" s="19">
        <f t="shared" si="2"/>
        <v>0.91999999999999993</v>
      </c>
      <c r="T32" s="19">
        <f t="shared" si="3"/>
        <v>0.91999999999999993</v>
      </c>
    </row>
    <row r="33" spans="1:20" ht="30" x14ac:dyDescent="0.25">
      <c r="A33" s="14">
        <v>23</v>
      </c>
      <c r="B33" s="14">
        <v>2</v>
      </c>
      <c r="C33" s="14" t="s">
        <v>140</v>
      </c>
      <c r="D33" s="14" t="s">
        <v>141</v>
      </c>
      <c r="E33" s="14" t="s">
        <v>142</v>
      </c>
      <c r="F33" s="14" t="s">
        <v>141</v>
      </c>
      <c r="G33" s="40"/>
      <c r="H33" s="40"/>
      <c r="I33" s="20" t="s">
        <v>143</v>
      </c>
      <c r="J33" s="21" t="s">
        <v>144</v>
      </c>
      <c r="K33" s="20" t="s">
        <v>123</v>
      </c>
      <c r="L33" s="20" t="s">
        <v>32</v>
      </c>
      <c r="M33" s="20">
        <v>14</v>
      </c>
      <c r="N33" s="22"/>
      <c r="O33" s="19">
        <v>4</v>
      </c>
      <c r="P33" s="19">
        <f t="shared" si="0"/>
        <v>8</v>
      </c>
      <c r="Q33" s="19">
        <v>2.2999999999999998</v>
      </c>
      <c r="R33" s="19">
        <f t="shared" si="1"/>
        <v>4.5999999999999996</v>
      </c>
      <c r="S33" s="19">
        <f t="shared" si="2"/>
        <v>0.91999999999999993</v>
      </c>
      <c r="T33" s="19">
        <f t="shared" si="3"/>
        <v>1.8399999999999999</v>
      </c>
    </row>
    <row r="34" spans="1:20" ht="15.75" x14ac:dyDescent="0.25">
      <c r="A34" s="14">
        <v>24</v>
      </c>
      <c r="B34" s="14">
        <v>3</v>
      </c>
      <c r="C34" s="14" t="s">
        <v>145</v>
      </c>
      <c r="D34" s="14" t="s">
        <v>146</v>
      </c>
      <c r="E34" s="14" t="s">
        <v>147</v>
      </c>
      <c r="F34" s="14" t="s">
        <v>146</v>
      </c>
      <c r="G34" s="40"/>
      <c r="H34" s="40"/>
      <c r="I34" s="20" t="s">
        <v>143</v>
      </c>
      <c r="J34" s="21" t="s">
        <v>144</v>
      </c>
      <c r="K34" s="20" t="s">
        <v>123</v>
      </c>
      <c r="L34" s="20" t="s">
        <v>32</v>
      </c>
      <c r="M34" s="20">
        <v>26</v>
      </c>
      <c r="N34" s="25"/>
      <c r="O34" s="19">
        <v>2.9</v>
      </c>
      <c r="P34" s="19">
        <f t="shared" si="0"/>
        <v>8.6999999999999993</v>
      </c>
      <c r="Q34" s="19">
        <v>1.7</v>
      </c>
      <c r="R34" s="19">
        <f t="shared" si="1"/>
        <v>5.0999999999999996</v>
      </c>
      <c r="S34" s="19">
        <f t="shared" si="2"/>
        <v>0.68</v>
      </c>
      <c r="T34" s="19">
        <f t="shared" si="3"/>
        <v>2.04</v>
      </c>
    </row>
    <row r="35" spans="1:20" ht="15.75" x14ac:dyDescent="0.25">
      <c r="A35" s="14">
        <v>25</v>
      </c>
      <c r="B35" s="14">
        <v>5</v>
      </c>
      <c r="C35" s="14" t="s">
        <v>148</v>
      </c>
      <c r="D35" s="14" t="s">
        <v>149</v>
      </c>
      <c r="E35" s="14" t="s">
        <v>150</v>
      </c>
      <c r="F35" s="14" t="s">
        <v>151</v>
      </c>
      <c r="G35" s="40"/>
      <c r="H35" s="40"/>
      <c r="I35" s="20" t="s">
        <v>149</v>
      </c>
      <c r="J35" s="21" t="s">
        <v>152</v>
      </c>
      <c r="K35" s="20" t="s">
        <v>58</v>
      </c>
      <c r="L35" s="20" t="s">
        <v>32</v>
      </c>
      <c r="M35" s="20">
        <v>43</v>
      </c>
      <c r="N35" s="25"/>
      <c r="O35" s="19">
        <v>0.14000000000000001</v>
      </c>
      <c r="P35" s="19">
        <f t="shared" si="0"/>
        <v>0.70000000000000007</v>
      </c>
      <c r="Q35" s="19">
        <v>0.02</v>
      </c>
      <c r="R35" s="19">
        <f>Q35*B35</f>
        <v>0.1</v>
      </c>
      <c r="S35" s="19">
        <f>Q35*0.4</f>
        <v>8.0000000000000002E-3</v>
      </c>
      <c r="T35" s="19">
        <f t="shared" si="3"/>
        <v>0.04</v>
      </c>
    </row>
    <row r="36" spans="1:20" s="31" customFormat="1" ht="15.75" x14ac:dyDescent="0.25">
      <c r="A36" s="26">
        <v>26</v>
      </c>
      <c r="B36" s="26">
        <v>2</v>
      </c>
      <c r="C36" s="26" t="s">
        <v>153</v>
      </c>
      <c r="D36" s="26" t="s">
        <v>20</v>
      </c>
      <c r="E36" s="26" t="s">
        <v>20</v>
      </c>
      <c r="F36" s="26" t="s">
        <v>20</v>
      </c>
      <c r="G36" s="41"/>
      <c r="H36" s="41"/>
      <c r="I36" s="27" t="s">
        <v>20</v>
      </c>
      <c r="J36" s="28" t="s">
        <v>154</v>
      </c>
      <c r="K36" s="29" t="s">
        <v>20</v>
      </c>
      <c r="L36" s="28" t="s">
        <v>32</v>
      </c>
      <c r="M36" s="28">
        <v>26</v>
      </c>
      <c r="N36" s="28"/>
      <c r="O36" s="30"/>
      <c r="P36" s="30"/>
      <c r="Q36" s="30"/>
      <c r="R36" s="30"/>
      <c r="S36" s="30"/>
      <c r="T36" s="30"/>
    </row>
    <row r="37" spans="1:20" s="31" customFormat="1" ht="15.75" x14ac:dyDescent="0.25">
      <c r="A37" s="26">
        <v>27</v>
      </c>
      <c r="B37" s="26">
        <v>2</v>
      </c>
      <c r="C37" s="26" t="s">
        <v>155</v>
      </c>
      <c r="D37" s="32" t="s">
        <v>20</v>
      </c>
      <c r="E37" s="32" t="s">
        <v>20</v>
      </c>
      <c r="F37" s="32" t="s">
        <v>20</v>
      </c>
      <c r="G37" s="42"/>
      <c r="H37" s="42"/>
      <c r="I37" s="33" t="s">
        <v>20</v>
      </c>
      <c r="J37" s="34">
        <v>603</v>
      </c>
      <c r="K37" s="33" t="s">
        <v>20</v>
      </c>
      <c r="L37" s="28" t="s">
        <v>32</v>
      </c>
      <c r="M37" s="28">
        <v>20</v>
      </c>
      <c r="N37" s="28"/>
      <c r="O37" s="30"/>
      <c r="P37" s="30"/>
      <c r="Q37" s="30"/>
      <c r="R37" s="30"/>
      <c r="S37" s="30"/>
      <c r="T37" s="30"/>
    </row>
    <row r="38" spans="1:20" x14ac:dyDescent="0.25">
      <c r="O38" s="35"/>
      <c r="P38" s="35"/>
      <c r="Q38" s="35"/>
      <c r="R38" s="35"/>
      <c r="S38" s="35"/>
      <c r="T38" s="35"/>
    </row>
    <row r="39" spans="1:20" ht="15.75" x14ac:dyDescent="0.25">
      <c r="A39" s="36" t="s">
        <v>156</v>
      </c>
      <c r="O39" s="19" t="s">
        <v>157</v>
      </c>
      <c r="P39" s="19">
        <f>SUM(P11:P38)</f>
        <v>56.67</v>
      </c>
      <c r="Q39" s="19"/>
      <c r="R39" s="19">
        <f>SUM(R11:R38)</f>
        <v>25.923999999999999</v>
      </c>
      <c r="S39" s="19"/>
      <c r="T39" s="19">
        <f>SUM(T11:T38)</f>
        <v>10.369599999999998</v>
      </c>
    </row>
    <row r="40" spans="1:20" ht="15.75" x14ac:dyDescent="0.25">
      <c r="A40" s="37" t="s">
        <v>158</v>
      </c>
      <c r="O40" s="19"/>
      <c r="P40" s="19"/>
      <c r="Q40" s="19"/>
      <c r="R40" s="19"/>
      <c r="S40" s="19"/>
      <c r="T40" s="19"/>
    </row>
    <row r="41" spans="1:20" x14ac:dyDescent="0.25">
      <c r="A41" s="38" t="s">
        <v>159</v>
      </c>
      <c r="D41"/>
      <c r="E41" t="s">
        <v>160</v>
      </c>
      <c r="F41" s="38" t="s">
        <v>161</v>
      </c>
      <c r="G41" s="38"/>
      <c r="H41" s="38"/>
      <c r="I41"/>
    </row>
    <row r="54" spans="1:1026" x14ac:dyDescent="0.25">
      <c r="A54" s="39" t="s">
        <v>162</v>
      </c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/>
      <c r="KQ54"/>
      <c r="KR54"/>
      <c r="KS54"/>
      <c r="KT54"/>
      <c r="KU54"/>
      <c r="KV54"/>
      <c r="KW54"/>
      <c r="KX54"/>
      <c r="KY54"/>
      <c r="KZ54"/>
      <c r="LA54"/>
      <c r="LB54"/>
      <c r="LC54"/>
      <c r="LD54"/>
      <c r="LE54"/>
      <c r="LF54"/>
      <c r="LG54"/>
      <c r="LH54"/>
      <c r="LI54"/>
      <c r="LJ54"/>
      <c r="LK54"/>
      <c r="LL54"/>
      <c r="LM54"/>
      <c r="LN54"/>
      <c r="LO54"/>
      <c r="LP54"/>
      <c r="LQ54"/>
      <c r="LR54"/>
      <c r="LS54"/>
      <c r="LT54"/>
      <c r="LU54"/>
      <c r="LV54"/>
      <c r="LW54"/>
      <c r="LX54"/>
      <c r="LY54"/>
      <c r="LZ54"/>
      <c r="MA54"/>
      <c r="MB54"/>
      <c r="MC54"/>
      <c r="MD54"/>
      <c r="ME54"/>
      <c r="MF54"/>
      <c r="MG54"/>
      <c r="MH54"/>
      <c r="MI54"/>
      <c r="MJ54"/>
      <c r="MK54"/>
      <c r="ML54"/>
      <c r="MM54"/>
      <c r="MN54"/>
      <c r="MO54"/>
      <c r="MP54"/>
      <c r="MQ54"/>
      <c r="MR54"/>
      <c r="MS54"/>
      <c r="MT54"/>
      <c r="MU54"/>
      <c r="MV54"/>
      <c r="MW54"/>
      <c r="MX54"/>
      <c r="MY54"/>
      <c r="MZ54"/>
      <c r="NA54"/>
      <c r="NB54"/>
      <c r="NC54"/>
      <c r="ND54"/>
      <c r="NE54"/>
      <c r="NF54"/>
      <c r="NG54"/>
      <c r="NH54"/>
      <c r="NI54"/>
      <c r="NJ54"/>
      <c r="NK54"/>
      <c r="NL54"/>
      <c r="NM54"/>
      <c r="NN54"/>
      <c r="NO54"/>
      <c r="NP54"/>
      <c r="NQ54"/>
      <c r="NR54"/>
      <c r="NS54"/>
      <c r="NT54"/>
      <c r="NU54"/>
      <c r="NV54"/>
      <c r="NW54"/>
      <c r="NX54"/>
      <c r="NY54"/>
      <c r="NZ54"/>
      <c r="OA54"/>
      <c r="OB54"/>
      <c r="OC54"/>
      <c r="OD54"/>
      <c r="OE54"/>
      <c r="OF54"/>
      <c r="OG54"/>
      <c r="OH54"/>
      <c r="OI54"/>
      <c r="OJ54"/>
      <c r="OK54"/>
      <c r="OL54"/>
      <c r="OM54"/>
      <c r="ON54"/>
      <c r="OO54"/>
      <c r="OP54"/>
      <c r="OQ54"/>
      <c r="OR54"/>
      <c r="OS54"/>
      <c r="OT54"/>
      <c r="OU54"/>
      <c r="OV54"/>
      <c r="OW54"/>
      <c r="OX54"/>
      <c r="OY54"/>
      <c r="OZ54"/>
      <c r="PA54"/>
      <c r="PB54"/>
      <c r="PC54"/>
      <c r="PD54"/>
      <c r="PE54"/>
      <c r="PF54"/>
      <c r="PG54"/>
      <c r="PH54"/>
      <c r="PI54"/>
      <c r="PJ54"/>
      <c r="PK54"/>
      <c r="PL54"/>
      <c r="PM54"/>
      <c r="PN54"/>
      <c r="PO54"/>
      <c r="PP54"/>
      <c r="PQ54"/>
      <c r="PR54"/>
      <c r="PS54"/>
      <c r="PT54"/>
      <c r="PU54"/>
      <c r="PV54"/>
      <c r="PW54"/>
      <c r="PX54"/>
      <c r="PY54"/>
      <c r="PZ54"/>
      <c r="QA54"/>
      <c r="QB54"/>
      <c r="QC54"/>
      <c r="QD54"/>
      <c r="QE54"/>
      <c r="QF54"/>
      <c r="QG54"/>
      <c r="QH54"/>
      <c r="QI54"/>
      <c r="QJ54"/>
      <c r="QK54"/>
      <c r="QL54"/>
      <c r="QM54"/>
      <c r="QN54"/>
      <c r="QO54"/>
      <c r="QP54"/>
      <c r="QQ54"/>
      <c r="QR54"/>
      <c r="QS54"/>
      <c r="QT54"/>
      <c r="QU54"/>
      <c r="QV54"/>
      <c r="QW54"/>
      <c r="QX54"/>
      <c r="QY54"/>
      <c r="QZ54"/>
      <c r="RA54"/>
      <c r="RB54"/>
      <c r="RC54"/>
      <c r="RD54"/>
      <c r="RE54"/>
      <c r="RF54"/>
      <c r="RG54"/>
      <c r="RH54"/>
      <c r="RI54"/>
      <c r="RJ54"/>
      <c r="RK54"/>
      <c r="RL54"/>
      <c r="RM54"/>
      <c r="RN54"/>
      <c r="RO54"/>
      <c r="RP54"/>
      <c r="RQ54"/>
      <c r="RR54"/>
      <c r="RS54"/>
      <c r="RT54"/>
      <c r="RU54"/>
      <c r="RV54"/>
      <c r="RW54"/>
      <c r="RX54"/>
      <c r="RY54"/>
      <c r="RZ54"/>
      <c r="SA54"/>
      <c r="SB54"/>
      <c r="SC54"/>
      <c r="SD54"/>
      <c r="SE54"/>
      <c r="SF54"/>
      <c r="SG54"/>
      <c r="SH54"/>
      <c r="SI54"/>
      <c r="SJ54"/>
      <c r="SK54"/>
      <c r="SL54"/>
      <c r="SM54"/>
      <c r="SN54"/>
      <c r="SO54"/>
      <c r="SP54"/>
      <c r="SQ54"/>
      <c r="SR54"/>
      <c r="SS54"/>
      <c r="ST54"/>
      <c r="SU54"/>
      <c r="SV54"/>
      <c r="SW54"/>
      <c r="SX54"/>
      <c r="SY54"/>
      <c r="SZ54"/>
      <c r="TA54"/>
      <c r="TB54"/>
      <c r="TC54"/>
      <c r="TD54"/>
      <c r="TE54"/>
      <c r="TF54"/>
      <c r="TG54"/>
      <c r="TH54"/>
      <c r="TI54"/>
      <c r="TJ54"/>
      <c r="TK54"/>
      <c r="TL54"/>
      <c r="TM54"/>
      <c r="TN54"/>
      <c r="TO54"/>
      <c r="TP54"/>
      <c r="TQ54"/>
      <c r="TR54"/>
      <c r="TS54"/>
      <c r="TT54"/>
      <c r="TU54"/>
      <c r="TV54"/>
      <c r="TW54"/>
      <c r="TX54"/>
      <c r="TY54"/>
      <c r="TZ54"/>
      <c r="UA54"/>
      <c r="UB54"/>
      <c r="UC54"/>
      <c r="UD54"/>
      <c r="UE54"/>
      <c r="UF54"/>
      <c r="UG54"/>
      <c r="UH54"/>
      <c r="UI54"/>
      <c r="UJ54"/>
      <c r="UK54"/>
      <c r="UL54"/>
      <c r="UM54"/>
      <c r="UN54"/>
      <c r="UO54"/>
      <c r="UP54"/>
      <c r="UQ54"/>
      <c r="UR54"/>
      <c r="US54"/>
      <c r="UT54"/>
      <c r="UU54"/>
      <c r="UV54"/>
      <c r="UW54"/>
      <c r="UX54"/>
      <c r="UY54"/>
      <c r="UZ54"/>
      <c r="VA54"/>
      <c r="VB54"/>
      <c r="VC54"/>
      <c r="VD54"/>
      <c r="VE54"/>
      <c r="VF54"/>
      <c r="VG54"/>
      <c r="VH54"/>
      <c r="VI54"/>
      <c r="VJ54"/>
      <c r="VK54"/>
      <c r="VL54"/>
      <c r="VM54"/>
      <c r="VN54"/>
      <c r="VO54"/>
      <c r="VP54"/>
      <c r="VQ54"/>
      <c r="VR54"/>
      <c r="VS54"/>
      <c r="VT54"/>
      <c r="VU54"/>
      <c r="VV54"/>
      <c r="VW54"/>
      <c r="VX54"/>
      <c r="VY54"/>
      <c r="VZ54"/>
      <c r="WA54"/>
      <c r="WB54"/>
      <c r="WC54"/>
      <c r="WD54"/>
      <c r="WE54"/>
      <c r="WF54"/>
      <c r="WG54"/>
      <c r="WH54"/>
      <c r="WI54"/>
      <c r="WJ54"/>
      <c r="WK54"/>
      <c r="WL54"/>
      <c r="WM54"/>
      <c r="WN54"/>
      <c r="WO54"/>
      <c r="WP54"/>
      <c r="WQ54"/>
      <c r="WR54"/>
      <c r="WS54"/>
      <c r="WT54"/>
      <c r="WU54"/>
      <c r="WV54"/>
      <c r="WW54"/>
      <c r="WX54"/>
      <c r="WY54"/>
      <c r="WZ54"/>
      <c r="XA54"/>
      <c r="XB54"/>
      <c r="XC54"/>
      <c r="XD54"/>
      <c r="XE54"/>
      <c r="XF54"/>
      <c r="XG54"/>
      <c r="XH54"/>
      <c r="XI54"/>
      <c r="XJ54"/>
      <c r="XK54"/>
      <c r="XL54"/>
      <c r="XM54"/>
      <c r="XN54"/>
      <c r="XO54"/>
      <c r="XP54"/>
      <c r="XQ54"/>
      <c r="XR54"/>
      <c r="XS54"/>
      <c r="XT54"/>
      <c r="XU54"/>
      <c r="XV54"/>
      <c r="XW54"/>
      <c r="XX54"/>
      <c r="XY54"/>
      <c r="XZ54"/>
      <c r="YA54"/>
      <c r="YB54"/>
      <c r="YC54"/>
      <c r="YD54"/>
      <c r="YE54"/>
      <c r="YF54"/>
      <c r="YG54"/>
      <c r="YH54"/>
      <c r="YI54"/>
      <c r="YJ54"/>
      <c r="YK54"/>
      <c r="YL54"/>
      <c r="YM54"/>
      <c r="YN54"/>
      <c r="YO54"/>
      <c r="YP54"/>
      <c r="YQ54"/>
      <c r="YR54"/>
      <c r="YS54"/>
      <c r="YT54"/>
      <c r="YU54"/>
      <c r="YV54"/>
      <c r="YW54"/>
      <c r="YX54"/>
      <c r="YY54"/>
      <c r="YZ54"/>
      <c r="ZA54"/>
      <c r="ZB54"/>
      <c r="ZC54"/>
      <c r="ZD54"/>
      <c r="ZE54"/>
      <c r="ZF54"/>
      <c r="ZG54"/>
      <c r="ZH54"/>
      <c r="ZI54"/>
      <c r="ZJ54"/>
      <c r="ZK54"/>
      <c r="ZL54"/>
      <c r="ZM54"/>
      <c r="ZN54"/>
      <c r="ZO54"/>
      <c r="ZP54"/>
      <c r="ZQ54"/>
      <c r="ZR54"/>
      <c r="ZS54"/>
      <c r="ZT54"/>
      <c r="ZU54"/>
      <c r="ZV54"/>
      <c r="ZW54"/>
      <c r="ZX54"/>
      <c r="ZY54"/>
      <c r="ZZ54"/>
      <c r="AAA54"/>
      <c r="AAB54"/>
      <c r="AAC54"/>
      <c r="AAD54"/>
      <c r="AAE54"/>
      <c r="AAF54"/>
      <c r="AAG54"/>
      <c r="AAH54"/>
      <c r="AAI54"/>
      <c r="AAJ54"/>
      <c r="AAK54"/>
      <c r="AAL54"/>
      <c r="AAM54"/>
      <c r="AAN54"/>
      <c r="AAO54"/>
      <c r="AAP54"/>
      <c r="AAQ54"/>
      <c r="AAR54"/>
      <c r="AAS54"/>
      <c r="AAT54"/>
      <c r="AAU54"/>
      <c r="AAV54"/>
      <c r="AAW54"/>
      <c r="AAX54"/>
      <c r="AAY54"/>
      <c r="AAZ54"/>
      <c r="ABA54"/>
      <c r="ABB54"/>
      <c r="ABC54"/>
      <c r="ABD54"/>
      <c r="ABE54"/>
      <c r="ABF54"/>
      <c r="ABG54"/>
      <c r="ABH54"/>
      <c r="ABI54"/>
      <c r="ABJ54"/>
      <c r="ABK54"/>
      <c r="ABL54"/>
      <c r="ABM54"/>
      <c r="ABN54"/>
      <c r="ABO54"/>
      <c r="ABP54"/>
      <c r="ABQ54"/>
      <c r="ABR54"/>
      <c r="ABS54"/>
      <c r="ABT54"/>
      <c r="ABU54"/>
      <c r="ABV54"/>
      <c r="ABW54"/>
      <c r="ABX54"/>
      <c r="ABY54"/>
      <c r="ABZ54"/>
      <c r="ACA54"/>
      <c r="ACB54"/>
      <c r="ACC54"/>
      <c r="ACD54"/>
      <c r="ACE54"/>
      <c r="ACF54"/>
      <c r="ACG54"/>
      <c r="ACH54"/>
      <c r="ACI54"/>
      <c r="ACJ54"/>
      <c r="ACK54"/>
      <c r="ACL54"/>
      <c r="ACM54"/>
      <c r="ACN54"/>
      <c r="ACO54"/>
      <c r="ACP54"/>
      <c r="ACQ54"/>
      <c r="ACR54"/>
      <c r="ACS54"/>
      <c r="ACT54"/>
      <c r="ACU54"/>
      <c r="ACV54"/>
      <c r="ACW54"/>
      <c r="ACX54"/>
      <c r="ACY54"/>
      <c r="ACZ54"/>
      <c r="ADA54"/>
      <c r="ADB54"/>
      <c r="ADC54"/>
      <c r="ADD54"/>
      <c r="ADE54"/>
      <c r="ADF54"/>
      <c r="ADG54"/>
      <c r="ADH54"/>
      <c r="ADI54"/>
      <c r="ADJ54"/>
      <c r="ADK54"/>
      <c r="ADL54"/>
      <c r="ADM54"/>
      <c r="ADN54"/>
      <c r="ADO54"/>
      <c r="ADP54"/>
      <c r="ADQ54"/>
      <c r="ADR54"/>
      <c r="ADS54"/>
      <c r="ADT54"/>
      <c r="ADU54"/>
      <c r="ADV54"/>
      <c r="ADW54"/>
      <c r="ADX54"/>
      <c r="ADY54"/>
      <c r="ADZ54"/>
      <c r="AEA54"/>
      <c r="AEB54"/>
      <c r="AEC54"/>
      <c r="AED54"/>
      <c r="AEE54"/>
      <c r="AEF54"/>
      <c r="AEG54"/>
      <c r="AEH54"/>
      <c r="AEI54"/>
      <c r="AEJ54"/>
      <c r="AEK54"/>
      <c r="AEL54"/>
      <c r="AEM54"/>
      <c r="AEN54"/>
      <c r="AEO54"/>
      <c r="AEP54"/>
      <c r="AEQ54"/>
      <c r="AER54"/>
      <c r="AES54"/>
      <c r="AET54"/>
      <c r="AEU54"/>
      <c r="AEV54"/>
      <c r="AEW54"/>
      <c r="AEX54"/>
      <c r="AEY54"/>
      <c r="AEZ54"/>
      <c r="AFA54"/>
      <c r="AFB54"/>
      <c r="AFC54"/>
      <c r="AFD54"/>
      <c r="AFE54"/>
      <c r="AFF54"/>
      <c r="AFG54"/>
      <c r="AFH54"/>
      <c r="AFI54"/>
      <c r="AFJ54"/>
      <c r="AFK54"/>
      <c r="AFL54"/>
      <c r="AFM54"/>
      <c r="AFN54"/>
      <c r="AFO54"/>
      <c r="AFP54"/>
      <c r="AFQ54"/>
      <c r="AFR54"/>
      <c r="AFS54"/>
      <c r="AFT54"/>
      <c r="AFU54"/>
      <c r="AFV54"/>
      <c r="AFW54"/>
      <c r="AFX54"/>
      <c r="AFY54"/>
      <c r="AFZ54"/>
      <c r="AGA54"/>
      <c r="AGB54"/>
      <c r="AGC54"/>
      <c r="AGD54"/>
      <c r="AGE54"/>
      <c r="AGF54"/>
      <c r="AGG54"/>
      <c r="AGH54"/>
      <c r="AGI54"/>
      <c r="AGJ54"/>
      <c r="AGK54"/>
      <c r="AGL54"/>
      <c r="AGM54"/>
      <c r="AGN54"/>
      <c r="AGO54"/>
      <c r="AGP54"/>
      <c r="AGQ54"/>
      <c r="AGR54"/>
      <c r="AGS54"/>
      <c r="AGT54"/>
      <c r="AGU54"/>
      <c r="AGV54"/>
      <c r="AGW54"/>
      <c r="AGX54"/>
      <c r="AGY54"/>
      <c r="AGZ54"/>
      <c r="AHA54"/>
      <c r="AHB54"/>
      <c r="AHC54"/>
      <c r="AHD54"/>
      <c r="AHE54"/>
      <c r="AHF54"/>
      <c r="AHG54"/>
      <c r="AHH54"/>
      <c r="AHI54"/>
      <c r="AHJ54"/>
      <c r="AHK54"/>
      <c r="AHL54"/>
      <c r="AHM54"/>
      <c r="AHN54"/>
      <c r="AHO54"/>
      <c r="AHP54"/>
      <c r="AHQ54"/>
      <c r="AHR54"/>
      <c r="AHS54"/>
      <c r="AHT54"/>
      <c r="AHU54"/>
      <c r="AHV54"/>
      <c r="AHW54"/>
      <c r="AHX54"/>
      <c r="AHY54"/>
      <c r="AHZ54"/>
      <c r="AIA54"/>
      <c r="AIB54"/>
      <c r="AIC54"/>
      <c r="AID54"/>
      <c r="AIE54"/>
      <c r="AIF54"/>
      <c r="AIG54"/>
      <c r="AIH54"/>
      <c r="AII54"/>
      <c r="AIJ54"/>
      <c r="AIK54"/>
      <c r="AIL54"/>
      <c r="AIM54"/>
      <c r="AIN54"/>
      <c r="AIO54"/>
      <c r="AIP54"/>
      <c r="AIQ54"/>
      <c r="AIR54"/>
      <c r="AIS54"/>
      <c r="AIT54"/>
      <c r="AIU54"/>
      <c r="AIV54"/>
      <c r="AIW54"/>
      <c r="AIX54"/>
      <c r="AIY54"/>
      <c r="AIZ54"/>
      <c r="AJA54"/>
      <c r="AJB54"/>
      <c r="AJC54"/>
      <c r="AJD54"/>
      <c r="AJE54"/>
      <c r="AJF54"/>
      <c r="AJG54"/>
      <c r="AJH54"/>
      <c r="AJI54"/>
      <c r="AJJ54"/>
      <c r="AJK54"/>
      <c r="AJL54"/>
      <c r="AJM54"/>
      <c r="AJN54"/>
      <c r="AJO54"/>
      <c r="AJP54"/>
      <c r="AJQ54"/>
      <c r="AJR54"/>
      <c r="AJS54"/>
      <c r="AJT54"/>
      <c r="AJU54"/>
      <c r="AJV54"/>
      <c r="AJW54"/>
      <c r="AJX54"/>
      <c r="AJY54"/>
      <c r="AJZ54"/>
      <c r="AKA54"/>
      <c r="AKB54"/>
      <c r="AKC54"/>
      <c r="AKD54"/>
      <c r="AKE54"/>
      <c r="AKF54"/>
      <c r="AKG54"/>
      <c r="AKH54"/>
      <c r="AKI54"/>
      <c r="AKJ54"/>
      <c r="AKK54"/>
      <c r="AKL54"/>
      <c r="AKM54"/>
      <c r="AKN54"/>
      <c r="AKO54"/>
      <c r="AKP54"/>
      <c r="AKQ54"/>
      <c r="AKR54"/>
      <c r="AKS54"/>
      <c r="AKT54"/>
      <c r="AKU54"/>
      <c r="AKV54"/>
      <c r="AKW54"/>
      <c r="AKX54"/>
      <c r="AKY54"/>
      <c r="AKZ54"/>
      <c r="ALA54"/>
      <c r="ALB54"/>
      <c r="ALC54"/>
      <c r="ALD54"/>
      <c r="ALE54"/>
      <c r="ALF54"/>
      <c r="ALG54"/>
      <c r="ALH54"/>
      <c r="ALI54"/>
      <c r="ALJ54"/>
      <c r="ALK54"/>
      <c r="ALL54"/>
      <c r="ALM54"/>
      <c r="ALN54"/>
      <c r="ALO54"/>
      <c r="ALP54"/>
      <c r="ALQ54"/>
      <c r="ALR54"/>
      <c r="ALS54"/>
      <c r="ALT54"/>
      <c r="ALU54"/>
      <c r="ALV54"/>
      <c r="ALW54"/>
      <c r="ALX54"/>
      <c r="ALY54"/>
      <c r="ALZ54"/>
      <c r="AMA54"/>
      <c r="AMB54"/>
      <c r="AMC54"/>
      <c r="AMD54"/>
      <c r="AME54"/>
      <c r="AMF54"/>
      <c r="AMG54"/>
      <c r="AMH54"/>
      <c r="AMI54"/>
      <c r="AMJ54"/>
      <c r="AMK54"/>
      <c r="AML54"/>
    </row>
    <row r="55" spans="1:1026" x14ac:dyDescent="0.25">
      <c r="A55" s="37" t="s">
        <v>163</v>
      </c>
    </row>
    <row r="56" spans="1:1026" s="31" customFormat="1" ht="15.75" x14ac:dyDescent="0.25">
      <c r="A56" s="26">
        <v>26</v>
      </c>
      <c r="B56" s="26">
        <v>2</v>
      </c>
      <c r="C56" s="26" t="s">
        <v>153</v>
      </c>
      <c r="D56" s="26" t="s">
        <v>164</v>
      </c>
      <c r="E56" s="26" t="s">
        <v>165</v>
      </c>
      <c r="F56" s="26" t="s">
        <v>164</v>
      </c>
      <c r="G56" s="26"/>
      <c r="H56" s="26"/>
      <c r="I56" s="26" t="s">
        <v>166</v>
      </c>
      <c r="J56" s="28" t="s">
        <v>154</v>
      </c>
      <c r="K56" s="34" t="s">
        <v>90</v>
      </c>
      <c r="L56" s="28" t="s">
        <v>32</v>
      </c>
      <c r="M56" s="28">
        <v>26</v>
      </c>
      <c r="N56" s="28"/>
      <c r="O56" s="30">
        <v>0.14000000000000001</v>
      </c>
      <c r="P56" s="30">
        <f>B56*O56</f>
        <v>0.28000000000000003</v>
      </c>
      <c r="Q56" s="30">
        <v>2.862E-2</v>
      </c>
      <c r="R56" s="30">
        <f>Q56*B56</f>
        <v>5.7239999999999999E-2</v>
      </c>
      <c r="S56" s="30">
        <f>Q56*0.4</f>
        <v>1.1448E-2</v>
      </c>
      <c r="T56" s="30">
        <f>B56*S56</f>
        <v>2.2896E-2</v>
      </c>
    </row>
    <row r="57" spans="1:1026" s="31" customFormat="1" ht="15.75" x14ac:dyDescent="0.25">
      <c r="A57" s="26">
        <v>27</v>
      </c>
      <c r="B57" s="26">
        <v>2</v>
      </c>
      <c r="C57" s="26" t="s">
        <v>155</v>
      </c>
      <c r="D57" s="26" t="s">
        <v>167</v>
      </c>
      <c r="E57" s="26" t="s">
        <v>168</v>
      </c>
      <c r="F57" s="26" t="s">
        <v>169</v>
      </c>
      <c r="G57" s="26"/>
      <c r="H57" s="26"/>
      <c r="I57" s="28" t="s">
        <v>102</v>
      </c>
      <c r="J57" s="34">
        <v>603</v>
      </c>
      <c r="K57" s="28" t="s">
        <v>96</v>
      </c>
      <c r="L57" s="28" t="s">
        <v>32</v>
      </c>
      <c r="M57" s="28">
        <v>20</v>
      </c>
      <c r="N57" s="28"/>
      <c r="O57" s="30">
        <v>0.1</v>
      </c>
      <c r="P57" s="30">
        <f>B57*O57</f>
        <v>0.2</v>
      </c>
      <c r="Q57" s="30">
        <v>3.7799999999999999E-3</v>
      </c>
      <c r="R57" s="30">
        <f>Q57*B57</f>
        <v>7.5599999999999999E-3</v>
      </c>
      <c r="S57" s="30">
        <f>Q57*0.4</f>
        <v>1.5120000000000001E-3</v>
      </c>
      <c r="T57" s="30">
        <f>B57*S57</f>
        <v>3.0240000000000002E-3</v>
      </c>
    </row>
  </sheetData>
  <autoFilter ref="A10:T37" xr:uid="{00000000-0009-0000-0000-000000000000}"/>
  <mergeCells count="6">
    <mergeCell ref="A6:D6"/>
    <mergeCell ref="B1:D1"/>
    <mergeCell ref="B2:D2"/>
    <mergeCell ref="B3:D3"/>
    <mergeCell ref="B4:D4"/>
    <mergeCell ref="B5:D5"/>
  </mergeCells>
  <pageMargins left="0.7" right="0.7" top="0.75" bottom="0.75" header="0.511811023622047" footer="0.511811023622047"/>
  <pageSetup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SECONDARY_BOARD_V1.2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AJAYKUMAR AJANAL</dc:creator>
  <dc:description/>
  <cp:lastModifiedBy>Sami</cp:lastModifiedBy>
  <cp:revision>3</cp:revision>
  <dcterms:created xsi:type="dcterms:W3CDTF">2020-12-11T12:20:17Z</dcterms:created>
  <dcterms:modified xsi:type="dcterms:W3CDTF">2023-09-06T15:12:03Z</dcterms:modified>
  <dc:language>en-US</dc:language>
</cp:coreProperties>
</file>