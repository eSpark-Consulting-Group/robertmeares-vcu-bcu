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7.png" ContentType="image/png"/>
  <Override PartName="/xl/media/image8.png" ContentType="image/png"/>
  <Override PartName="/xl/media/image9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ONDARY_BOARD_V1.2" sheetId="1" state="visible" r:id="rId2"/>
  </sheets>
  <definedNames>
    <definedName function="false" hidden="true" localSheetId="0" name="_xlnm._FilterDatabase" vbProcedure="false">'SECONDARY_BOARD_V1.2'!$A$10:$R$37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<sst xmlns="http://schemas.openxmlformats.org/spreadsheetml/2006/main" count="258" uniqueCount="170">
  <si>
    <t xml:space="preserve">Index  Revised: </t>
  </si>
  <si>
    <t xml:space="preserve">Revision: </t>
  </si>
  <si>
    <t xml:space="preserve">Created by :</t>
  </si>
  <si>
    <t xml:space="preserve">Suhas B</t>
  </si>
  <si>
    <t xml:space="preserve">V2.2</t>
  </si>
  <si>
    <t xml:space="preserve">DNP Q3,Q4,R38,R39</t>
  </si>
  <si>
    <t xml:space="preserve">V2.0</t>
  </si>
  <si>
    <t xml:space="preserve">Column I , J and K added for procrument of high lead time components</t>
  </si>
  <si>
    <t xml:space="preserve">Note : Column J " In stock " status can be vary base on components availability on websites like digikey and mouser </t>
  </si>
  <si>
    <t xml:space="preserve">Item</t>
  </si>
  <si>
    <t xml:space="preserve">Quantity</t>
  </si>
  <si>
    <t xml:space="preserve">Reference</t>
  </si>
  <si>
    <t xml:space="preserve">Value</t>
  </si>
  <si>
    <t xml:space="preserve">Description</t>
  </si>
  <si>
    <t xml:space="preserve">Manufacturere's p/n</t>
  </si>
  <si>
    <t xml:space="preserve">Manufacturer</t>
  </si>
  <si>
    <t xml:space="preserve">Package</t>
  </si>
  <si>
    <t xml:space="preserve">Component Type</t>
  </si>
  <si>
    <t xml:space="preserve">In Stock</t>
  </si>
  <si>
    <t xml:space="preserve">Lead time (weeks)</t>
  </si>
  <si>
    <t xml:space="preserve">DNP</t>
  </si>
  <si>
    <t xml:space="preserve">price per unit</t>
  </si>
  <si>
    <t xml:space="preserve">Total Price </t>
  </si>
  <si>
    <t xml:space="preserve">price per 1k units</t>
  </si>
  <si>
    <t xml:space="preserve">Total price</t>
  </si>
  <si>
    <t xml:space="preserve">Price per 100k units</t>
  </si>
  <si>
    <t xml:space="preserve">C1,C2,C4,C7,C8,C9,C11,C13,C18,C19,C20,C21,C22,C23,C24,C25,C33</t>
  </si>
  <si>
    <t xml:space="preserve">0.1uF</t>
  </si>
  <si>
    <t xml:space="preserve">CAP CER 0.1uF 16V 10% X7R 0402</t>
  </si>
  <si>
    <t xml:space="preserve">GRM155R71C104KA88J</t>
  </si>
  <si>
    <t xml:space="preserve">MURATA</t>
  </si>
  <si>
    <t xml:space="preserve">Capacitor</t>
  </si>
  <si>
    <t xml:space="preserve">Yes</t>
  </si>
  <si>
    <t xml:space="preserve">C22,C23,C24,C25</t>
  </si>
  <si>
    <t xml:space="preserve">C3</t>
  </si>
  <si>
    <t xml:space="preserve">22uF</t>
  </si>
  <si>
    <t xml:space="preserve">MLCC - SMD/SMT 22uF+/-20% 16V X5R</t>
  </si>
  <si>
    <t xml:space="preserve">CL10A226MO7JZNC</t>
  </si>
  <si>
    <t xml:space="preserve">SAMSUNG ELECTRO</t>
  </si>
  <si>
    <t xml:space="preserve">C5,C10,C12,C14,C34</t>
  </si>
  <si>
    <t xml:space="preserve">1uF</t>
  </si>
  <si>
    <t xml:space="preserve">CAP CER 1uF 25V 10% X7R 0603</t>
  </si>
  <si>
    <t xml:space="preserve">CGA3E1X7R1E105K080AC</t>
  </si>
  <si>
    <t xml:space="preserve">TDK</t>
  </si>
  <si>
    <t xml:space="preserve">C6,C15,C16,C17,C26,C27</t>
  </si>
  <si>
    <t xml:space="preserve">CAP CER 0.1UF 50V X7R 0603</t>
  </si>
  <si>
    <t xml:space="preserve">GRM188R72A104KA35D</t>
  </si>
  <si>
    <t xml:space="preserve">C30,C31,C32</t>
  </si>
  <si>
    <t xml:space="preserve">1nF</t>
  </si>
  <si>
    <t xml:space="preserve">CAP CER 1000PF 2KV X7R 1206</t>
  </si>
  <si>
    <t xml:space="preserve">CL31B102KJHNNNE</t>
  </si>
  <si>
    <t xml:space="preserve">Samsung Electro-Mechanics</t>
  </si>
  <si>
    <t xml:space="preserve">C31,C32</t>
  </si>
  <si>
    <t xml:space="preserve">D18,D19,D20,D21</t>
  </si>
  <si>
    <t xml:space="preserve">RRE07VTM6SFHTR</t>
  </si>
  <si>
    <t xml:space="preserve">RECTIFIER DIODES </t>
  </si>
  <si>
    <t xml:space="preserve">Rohm Semiconductor</t>
  </si>
  <si>
    <t xml:space="preserve">2-SMD, Flat Lead</t>
  </si>
  <si>
    <t xml:space="preserve">Diode</t>
  </si>
  <si>
    <t xml:space="preserve">D20,D21</t>
  </si>
  <si>
    <t xml:space="preserve">J1</t>
  </si>
  <si>
    <t xml:space="preserve">FX23-20S-0.5SV</t>
  </si>
  <si>
    <t xml:space="preserve">CONN RCPT 20POS SMD GOLD</t>
  </si>
  <si>
    <t xml:space="preserve"> Hirose Electric Co Ltd</t>
  </si>
  <si>
    <t xml:space="preserve">PTH/SMD</t>
  </si>
  <si>
    <t xml:space="preserve">Connector</t>
  </si>
  <si>
    <t xml:space="preserve">No</t>
  </si>
  <si>
    <t xml:space="preserve">J2</t>
  </si>
  <si>
    <t xml:space="preserve">MX23A18NF1</t>
  </si>
  <si>
    <t xml:space="preserve">Automotive Connectors 18P Std Pin Header</t>
  </si>
  <si>
    <t xml:space="preserve">JAE Electronics</t>
  </si>
  <si>
    <t xml:space="preserve">L16,L22</t>
  </si>
  <si>
    <t xml:space="preserve">220R@100MHz</t>
  </si>
  <si>
    <t xml:space="preserve">FERRITEBEAD SMD Z100MHZ=600OHM 2</t>
  </si>
  <si>
    <t xml:space="preserve">BLM21SP601SH1D</t>
  </si>
  <si>
    <t xml:space="preserve">Murata Electronics</t>
  </si>
  <si>
    <t xml:space="preserve">Inductor</t>
  </si>
  <si>
    <t xml:space="preserve">L18,L19,L20,L21</t>
  </si>
  <si>
    <t xml:space="preserve">MPZ2012S102AT000</t>
  </si>
  <si>
    <t xml:space="preserve">FERRITE BEAD 1 KOHM 0805 1LN</t>
  </si>
  <si>
    <t xml:space="preserve">TDK Corporation</t>
  </si>
  <si>
    <t xml:space="preserve">L20,L21</t>
  </si>
  <si>
    <t xml:space="preserve">L23,L24,L25,L26,L27</t>
  </si>
  <si>
    <t xml:space="preserve">BLM21AG121SZ1D</t>
  </si>
  <si>
    <t xml:space="preserve">Ferrite Beads 0805 120ohms 1000mA Auto Infotainment</t>
  </si>
  <si>
    <t xml:space="preserve">Q1,Q2</t>
  </si>
  <si>
    <t xml:space="preserve">TLX9000(TPL,F</t>
  </si>
  <si>
    <t xml:space="preserve">Transistor Output Optocouplers Transistor Coupler Automotive;</t>
  </si>
  <si>
    <t xml:space="preserve">Toshiba</t>
  </si>
  <si>
    <t xml:space="preserve">SO-4</t>
  </si>
  <si>
    <t xml:space="preserve">Transistor</t>
  </si>
  <si>
    <t xml:space="preserve">R1,R2,R3,R8,R9,R10,R15,R28,R29,R31,R33,R35,R37</t>
  </si>
  <si>
    <t xml:space="preserve">10K</t>
  </si>
  <si>
    <t xml:space="preserve">RES SMD 10K OHM 1% 1/10W 0603</t>
  </si>
  <si>
    <t xml:space="preserve">RCA060310K0FKEA</t>
  </si>
  <si>
    <t xml:space="preserve">Vishay Dale</t>
  </si>
  <si>
    <t xml:space="preserve">Resistor</t>
  </si>
  <si>
    <t xml:space="preserve">R1,R35,R37</t>
  </si>
  <si>
    <t xml:space="preserve">R17,R19</t>
  </si>
  <si>
    <t xml:space="preserve">1K</t>
  </si>
  <si>
    <t xml:space="preserve">RES SMD 1K OHM 0.1% 1/10W 0603</t>
  </si>
  <si>
    <t xml:space="preserve"> RT0603BRD071KL</t>
  </si>
  <si>
    <t xml:space="preserve"> Yageo</t>
  </si>
  <si>
    <t xml:space="preserve">R11,R12,R13,R14</t>
  </si>
  <si>
    <t xml:space="preserve">0E</t>
  </si>
  <si>
    <t xml:space="preserve">RES 0.0 OHM 1/16W 0402 SMD</t>
  </si>
  <si>
    <t xml:space="preserve">CRCW04020000Z0ED</t>
  </si>
  <si>
    <t xml:space="preserve">VISHAY</t>
  </si>
  <si>
    <t xml:space="preserve">R30,R32,R34,R36</t>
  </si>
  <si>
    <t xml:space="preserve">47K</t>
  </si>
  <si>
    <t xml:space="preserve">RES SMD 47K OHM 5% 1/10W 0603</t>
  </si>
  <si>
    <t xml:space="preserve">AC0603JR-0747KL</t>
  </si>
  <si>
    <t xml:space="preserve">Yageo</t>
  </si>
  <si>
    <t xml:space="preserve">R34,R36</t>
  </si>
  <si>
    <t xml:space="preserve">R16,R18</t>
  </si>
  <si>
    <t xml:space="preserve">Thick Film Resistors - SMD 1/10Watt 0ohms</t>
  </si>
  <si>
    <t xml:space="preserve">CRCW06030000Z0EAC</t>
  </si>
  <si>
    <t xml:space="preserve">Vishay / Dale</t>
  </si>
  <si>
    <t xml:space="preserve">U1</t>
  </si>
  <si>
    <t xml:space="preserve">TPS2024IDRQ1</t>
  </si>
  <si>
    <t xml:space="preserve">Power Switch ICs - Power Distribution Auto Cat Pwr-Dist Sw</t>
  </si>
  <si>
    <t xml:space="preserve">TI</t>
  </si>
  <si>
    <t xml:space="preserve">SOIC-8</t>
  </si>
  <si>
    <t xml:space="preserve">IC</t>
  </si>
  <si>
    <t xml:space="preserve">U2</t>
  </si>
  <si>
    <t xml:space="preserve">TCA6408AQPWRQ1</t>
  </si>
  <si>
    <t xml:space="preserve">Interface - I/O Expanders Automotive Low-Voltage 8-Bit I2C</t>
  </si>
  <si>
    <t xml:space="preserve">TSSOP-16</t>
  </si>
  <si>
    <t xml:space="preserve">U5</t>
  </si>
  <si>
    <t xml:space="preserve">TPL7407LADR</t>
  </si>
  <si>
    <t xml:space="preserve">Gate Drivers 30-V, 7-Channel NMOS Array Low-Side Driver</t>
  </si>
  <si>
    <t xml:space="preserve">SOP-16</t>
  </si>
  <si>
    <t xml:space="preserve">U11</t>
  </si>
  <si>
    <t xml:space="preserve">ADS1015IDGSR</t>
  </si>
  <si>
    <t xml:space="preserve">Analog to Digital Converters - ADC 12B ADC with Int MUX</t>
  </si>
  <si>
    <t xml:space="preserve">MSOP-10</t>
  </si>
  <si>
    <t xml:space="preserve">U12</t>
  </si>
  <si>
    <t xml:space="preserve">HDC2021DEBT</t>
  </si>
  <si>
    <t xml:space="preserve">Board Mount Humidity Sensors Low-power humidity and temperature digital sensor</t>
  </si>
  <si>
    <t xml:space="preserve">6-WSON</t>
  </si>
  <si>
    <t xml:space="preserve">U3,U4</t>
  </si>
  <si>
    <t xml:space="preserve">G6K-2F-Y-DC12</t>
  </si>
  <si>
    <t xml:space="preserve">Low Signal Relays - PCB Gullwing NoLatch 3.2 DPDT 12VDC 100mW</t>
  </si>
  <si>
    <t xml:space="preserve">Omron Electronics</t>
  </si>
  <si>
    <t xml:space="preserve">8-PIN RELAY</t>
  </si>
  <si>
    <t xml:space="preserve">U6,U13,U14</t>
  </si>
  <si>
    <t xml:space="preserve">G6L-1F-DC12</t>
  </si>
  <si>
    <t xml:space="preserve">Low Signal Relays - PCB LO PROF SPST 12VDC</t>
  </si>
  <si>
    <t xml:space="preserve">D22,D23,D24,D25,D26</t>
  </si>
  <si>
    <t xml:space="preserve">LL4148-GS08</t>
  </si>
  <si>
    <t xml:space="preserve">DIODE GEN PURP 75V 300MA SOD80</t>
  </si>
  <si>
    <t xml:space="preserve">Vishay Semiconductor</t>
  </si>
  <si>
    <t xml:space="preserve">Mini melf</t>
  </si>
  <si>
    <t xml:space="preserve">Q3,Q4</t>
  </si>
  <si>
    <t xml:space="preserve">SOT-23</t>
  </si>
  <si>
    <t xml:space="preserve">R38,R39</t>
  </si>
  <si>
    <t xml:space="preserve">Discussion of V2.2</t>
  </si>
  <si>
    <t xml:space="preserve">TOTAL</t>
  </si>
  <si>
    <t xml:space="preserve">Q3 and Q4 footprint in layout, schematic, and BOM all disagree.</t>
  </si>
  <si>
    <t xml:space="preserve">V2.1 FOOTPRINT FOR Q3, Q4</t>
  </si>
  <si>
    <t xml:space="preserve">V2.1 SCHEMATIC</t>
  </si>
  <si>
    <t xml:space="preserve">PINOUT FROM MMBT3904-TP DATASHEET </t>
  </si>
  <si>
    <t xml:space="preserve">Solution:</t>
  </si>
  <si>
    <t xml:space="preserve">DNP effected parts, could not find a sub.</t>
  </si>
  <si>
    <t xml:space="preserve">MMBT3904-TP</t>
  </si>
  <si>
    <t xml:space="preserve"> TRANS NPN 40V 0.2A SOT23</t>
  </si>
  <si>
    <t xml:space="preserve"> Micro Commercial Co</t>
  </si>
  <si>
    <t xml:space="preserve">1K2</t>
  </si>
  <si>
    <t xml:space="preserve"> RES SMD 1.2K OHM 1% 1/10W 0603</t>
  </si>
  <si>
    <t xml:space="preserve">RC0603FR-071K2L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</si>
</sst>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\$#,##0.000;[RED]\$#,##0.0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FFFF"/>
      <name val="Calibri"/>
      <family val="2"/>
    </font>
    <font>
      <sz val="12"/>
      <color rgb="FFFFFF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8FAADC"/>
        <bgColor rgb="FF969696"/>
      </patternFill>
    </fill>
    <fill>
      <patternFill patternType="solid">
        <fgColor rgb="FFDAE3F3"/>
        <bgColor rgb="FFCCFFFF"/>
      </patternFill>
    </fill>
    <fill>
      <patternFill patternType="solid">
        <fgColor rgb="FFFF0000"/>
        <bgColor rgb="FF9933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8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9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8FAADC"/>
        </patternFill>
      </fill>
    </dxf>
    <dxf>
      <fill>
        <patternFill patternType="solid">
          <fgColor rgb="FFDAE3F3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37080</xdr:colOff>
      <xdr:row>41</xdr:row>
      <xdr:rowOff>45360</xdr:rowOff>
    </xdr:from>
    <xdr:to>
      <xdr:col>7</xdr:col>
      <xdr:colOff>673560</xdr:colOff>
      <xdr:row>49</xdr:row>
      <xdr:rowOff>64080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8816760" y="11044800"/>
          <a:ext cx="3800520" cy="15426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4</xdr:col>
      <xdr:colOff>34920</xdr:colOff>
      <xdr:row>41</xdr:row>
      <xdr:rowOff>25560</xdr:rowOff>
    </xdr:from>
    <xdr:to>
      <xdr:col>4</xdr:col>
      <xdr:colOff>2682720</xdr:colOff>
      <xdr:row>48</xdr:row>
      <xdr:rowOff>15840</xdr:rowOff>
    </xdr:to>
    <xdr:pic>
      <xdr:nvPicPr>
        <xdr:cNvPr id="1" name="Image 3" descr=""/>
        <xdr:cNvPicPr/>
      </xdr:nvPicPr>
      <xdr:blipFill>
        <a:blip r:embed="rId2"/>
        <a:stretch/>
      </xdr:blipFill>
      <xdr:spPr>
        <a:xfrm>
          <a:off x="5790600" y="11025000"/>
          <a:ext cx="2647800" cy="1323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40</xdr:row>
      <xdr:rowOff>144000</xdr:rowOff>
    </xdr:from>
    <xdr:to>
      <xdr:col>3</xdr:col>
      <xdr:colOff>934200</xdr:colOff>
      <xdr:row>52</xdr:row>
      <xdr:rowOff>120960</xdr:rowOff>
    </xdr:to>
    <xdr:pic>
      <xdr:nvPicPr>
        <xdr:cNvPr id="2" name="Image 1" descr=""/>
        <xdr:cNvPicPr/>
      </xdr:nvPicPr>
      <xdr:blipFill>
        <a:blip r:embed="rId3"/>
        <a:stretch/>
      </xdr:blipFill>
      <xdr:spPr>
        <a:xfrm>
          <a:off x="0" y="10968120"/>
          <a:ext cx="5419800" cy="22478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7"/>
  <sheetViews>
    <sheetView showFormulas="false" showGridLines="true" showRowColHeaders="true" showZeros="true" rightToLeft="false" tabSelected="true" showOutlineSymbols="true" defaultGridColor="true" view="normal" topLeftCell="A25" colorId="64" zoomScale="85" zoomScaleNormal="85" zoomScalePageLayoutView="100" workbookViewId="0">
      <selection pane="topLeft" activeCell="C60" activeCellId="0" sqref="C60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17.86"/>
    <col collapsed="false" customWidth="false" hidden="false" outlineLevel="0" max="2" min="2" style="1" width="9.14"/>
    <col collapsed="false" customWidth="true" hidden="false" outlineLevel="0" max="3" min="3" style="1" width="36.57"/>
    <col collapsed="false" customWidth="true" hidden="false" outlineLevel="0" max="4" min="4" style="1" width="18"/>
    <col collapsed="false" customWidth="true" hidden="false" outlineLevel="0" max="5" min="5" style="1" width="42.86"/>
    <col collapsed="false" customWidth="true" hidden="false" outlineLevel="0" max="6" min="6" style="1" width="22.7"/>
    <col collapsed="false" customWidth="true" hidden="false" outlineLevel="0" max="7" min="7" style="1" width="22.14"/>
    <col collapsed="false" customWidth="true" hidden="false" outlineLevel="0" max="11" min="8" style="1" width="11.57"/>
    <col collapsed="false" customWidth="true" hidden="false" outlineLevel="0" max="12" min="12" style="1" width="15.42"/>
    <col collapsed="false" customWidth="true" hidden="false" outlineLevel="0" max="14" min="13" style="1" width="11.57"/>
    <col collapsed="false" customWidth="true" hidden="false" outlineLevel="0" max="15" min="15" style="1" width="20.86"/>
    <col collapsed="false" customWidth="true" hidden="false" outlineLevel="0" max="18" min="16" style="1" width="11.57"/>
    <col collapsed="false" customWidth="false" hidden="false" outlineLevel="0" max="1024" min="19" style="1" width="9.14"/>
  </cols>
  <sheetData>
    <row r="1" customFormat="false" ht="15" hidden="false" customHeight="false" outlineLevel="0" collapsed="false">
      <c r="A1" s="2" t="s">
        <v>0</v>
      </c>
      <c r="B1" s="3" t="n">
        <v>44883</v>
      </c>
      <c r="C1" s="3"/>
      <c r="D1" s="3"/>
    </row>
    <row r="2" customFormat="false" ht="15" hidden="false" customHeight="false" outlineLevel="0" collapsed="false">
      <c r="A2" s="2" t="s">
        <v>1</v>
      </c>
      <c r="B2" s="4" t="n">
        <v>2.2</v>
      </c>
      <c r="C2" s="4"/>
      <c r="D2" s="4"/>
    </row>
    <row r="3" customFormat="false" ht="15" hidden="false" customHeight="false" outlineLevel="0" collapsed="false">
      <c r="A3" s="2" t="s">
        <v>2</v>
      </c>
      <c r="B3" s="4" t="s">
        <v>3</v>
      </c>
      <c r="C3" s="4"/>
      <c r="D3" s="4"/>
    </row>
    <row r="4" customFormat="false" ht="13.8" hidden="false" customHeight="false" outlineLevel="0" collapsed="false">
      <c r="A4" s="1" t="s">
        <v>4</v>
      </c>
      <c r="B4" s="5" t="s">
        <v>5</v>
      </c>
      <c r="C4" s="5"/>
      <c r="D4" s="5"/>
    </row>
    <row r="5" customFormat="false" ht="15" hidden="false" customHeight="true" outlineLevel="0" collapsed="false">
      <c r="A5" s="2" t="s">
        <v>6</v>
      </c>
      <c r="B5" s="6" t="s">
        <v>7</v>
      </c>
      <c r="C5" s="6"/>
      <c r="D5" s="6"/>
    </row>
    <row r="6" customFormat="false" ht="33" hidden="false" customHeight="true" outlineLevel="0" collapsed="false">
      <c r="A6" s="7" t="s">
        <v>8</v>
      </c>
      <c r="B6" s="7"/>
      <c r="C6" s="7"/>
      <c r="D6" s="7"/>
    </row>
    <row r="9" customFormat="false" ht="15.75" hidden="false" customHeight="false" outlineLevel="0" collapsed="false"/>
    <row r="10" customFormat="false" ht="30.75" hidden="false" customHeight="false" outlineLevel="0" collapsed="false">
      <c r="A10" s="8" t="s">
        <v>9</v>
      </c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9" t="s">
        <v>15</v>
      </c>
      <c r="H10" s="10" t="s">
        <v>16</v>
      </c>
      <c r="I10" s="9" t="s">
        <v>17</v>
      </c>
      <c r="J10" s="9" t="s">
        <v>18</v>
      </c>
      <c r="K10" s="9" t="s">
        <v>19</v>
      </c>
      <c r="L10" s="11" t="s">
        <v>20</v>
      </c>
      <c r="M10" s="12" t="s">
        <v>21</v>
      </c>
      <c r="N10" s="12" t="s">
        <v>22</v>
      </c>
      <c r="O10" s="12" t="s">
        <v>23</v>
      </c>
      <c r="P10" s="13" t="s">
        <v>24</v>
      </c>
      <c r="Q10" s="13" t="s">
        <v>25</v>
      </c>
      <c r="R10" s="13" t="s">
        <v>24</v>
      </c>
    </row>
    <row r="11" customFormat="false" ht="30" hidden="false" customHeight="false" outlineLevel="0" collapsed="false">
      <c r="A11" s="14" t="n">
        <v>1</v>
      </c>
      <c r="B11" s="14" t="n">
        <v>17</v>
      </c>
      <c r="C11" s="15" t="s">
        <v>26</v>
      </c>
      <c r="D11" s="14" t="s">
        <v>27</v>
      </c>
      <c r="E11" s="14" t="s">
        <v>28</v>
      </c>
      <c r="F11" s="14" t="s">
        <v>29</v>
      </c>
      <c r="G11" s="16" t="s">
        <v>30</v>
      </c>
      <c r="H11" s="17" t="n">
        <v>402</v>
      </c>
      <c r="I11" s="16" t="s">
        <v>31</v>
      </c>
      <c r="J11" s="16" t="s">
        <v>32</v>
      </c>
      <c r="K11" s="16" t="n">
        <v>19</v>
      </c>
      <c r="L11" s="18" t="s">
        <v>33</v>
      </c>
      <c r="M11" s="19" t="n">
        <v>0.1</v>
      </c>
      <c r="N11" s="19" t="n">
        <f aca="false">B11*M11</f>
        <v>1.7</v>
      </c>
      <c r="O11" s="19" t="n">
        <v>0.009</v>
      </c>
      <c r="P11" s="19" t="n">
        <f aca="false">B11*O11</f>
        <v>0.153</v>
      </c>
      <c r="Q11" s="19" t="n">
        <f aca="false">0.4*O11</f>
        <v>0.0036</v>
      </c>
      <c r="R11" s="19" t="n">
        <f aca="false">B11*Q11</f>
        <v>0.0612</v>
      </c>
    </row>
    <row r="12" customFormat="false" ht="15.75" hidden="false" customHeight="false" outlineLevel="0" collapsed="false">
      <c r="A12" s="14" t="n">
        <v>2</v>
      </c>
      <c r="B12" s="14" t="n">
        <v>1</v>
      </c>
      <c r="C12" s="14" t="s">
        <v>34</v>
      </c>
      <c r="D12" s="14" t="s">
        <v>35</v>
      </c>
      <c r="E12" s="14" t="s">
        <v>36</v>
      </c>
      <c r="F12" s="14" t="s">
        <v>37</v>
      </c>
      <c r="G12" s="20" t="s">
        <v>38</v>
      </c>
      <c r="H12" s="21" t="n">
        <v>603</v>
      </c>
      <c r="I12" s="16" t="s">
        <v>31</v>
      </c>
      <c r="J12" s="20" t="s">
        <v>32</v>
      </c>
      <c r="K12" s="20" t="n">
        <v>28</v>
      </c>
      <c r="L12" s="22"/>
      <c r="M12" s="19" t="n">
        <v>0.7</v>
      </c>
      <c r="N12" s="19" t="n">
        <f aca="false">B12*M12</f>
        <v>0.7</v>
      </c>
      <c r="O12" s="19" t="n">
        <v>0.2</v>
      </c>
      <c r="P12" s="19" t="n">
        <f aca="false">B12*O12</f>
        <v>0.2</v>
      </c>
      <c r="Q12" s="19" t="n">
        <f aca="false">0.4*O12</f>
        <v>0.08</v>
      </c>
      <c r="R12" s="19" t="n">
        <f aca="false">B12*Q12</f>
        <v>0.08</v>
      </c>
    </row>
    <row r="13" customFormat="false" ht="30" hidden="false" customHeight="false" outlineLevel="0" collapsed="false">
      <c r="A13" s="14" t="n">
        <v>3</v>
      </c>
      <c r="B13" s="14" t="n">
        <v>5</v>
      </c>
      <c r="C13" s="15" t="s">
        <v>39</v>
      </c>
      <c r="D13" s="14" t="s">
        <v>40</v>
      </c>
      <c r="E13" s="14" t="s">
        <v>41</v>
      </c>
      <c r="F13" s="14" t="s">
        <v>42</v>
      </c>
      <c r="G13" s="20" t="s">
        <v>43</v>
      </c>
      <c r="H13" s="21" t="n">
        <v>603</v>
      </c>
      <c r="I13" s="16" t="s">
        <v>31</v>
      </c>
      <c r="J13" s="20" t="s">
        <v>32</v>
      </c>
      <c r="K13" s="20" t="n">
        <v>14</v>
      </c>
      <c r="L13" s="22"/>
      <c r="M13" s="19" t="n">
        <v>0.17</v>
      </c>
      <c r="N13" s="19" t="n">
        <f aca="false">B13*M13</f>
        <v>0.85</v>
      </c>
      <c r="O13" s="19" t="n">
        <v>0.037</v>
      </c>
      <c r="P13" s="19" t="n">
        <f aca="false">B13*O13</f>
        <v>0.185</v>
      </c>
      <c r="Q13" s="19" t="n">
        <f aca="false">0.4*O13</f>
        <v>0.0148</v>
      </c>
      <c r="R13" s="19" t="n">
        <f aca="false">B13*Q13</f>
        <v>0.074</v>
      </c>
    </row>
    <row r="14" customFormat="false" ht="15.75" hidden="false" customHeight="false" outlineLevel="0" collapsed="false">
      <c r="A14" s="14" t="n">
        <v>4</v>
      </c>
      <c r="B14" s="14" t="n">
        <v>6</v>
      </c>
      <c r="C14" s="14" t="s">
        <v>44</v>
      </c>
      <c r="D14" s="14" t="s">
        <v>27</v>
      </c>
      <c r="E14" s="14" t="s">
        <v>45</v>
      </c>
      <c r="F14" s="14" t="s">
        <v>46</v>
      </c>
      <c r="G14" s="20" t="s">
        <v>30</v>
      </c>
      <c r="H14" s="21" t="n">
        <v>603</v>
      </c>
      <c r="I14" s="16" t="s">
        <v>31</v>
      </c>
      <c r="J14" s="20" t="s">
        <v>32</v>
      </c>
      <c r="K14" s="20" t="n">
        <v>31</v>
      </c>
      <c r="L14" s="22"/>
      <c r="M14" s="19" t="n">
        <v>0.28</v>
      </c>
      <c r="N14" s="19" t="n">
        <f aca="false">B14*M14</f>
        <v>1.68</v>
      </c>
      <c r="O14" s="19" t="n">
        <v>0.06</v>
      </c>
      <c r="P14" s="19" t="n">
        <f aca="false">B14*O14</f>
        <v>0.36</v>
      </c>
      <c r="Q14" s="19" t="n">
        <f aca="false">0.4*O14</f>
        <v>0.024</v>
      </c>
      <c r="R14" s="19" t="n">
        <f aca="false">B14*Q14</f>
        <v>0.144</v>
      </c>
    </row>
    <row r="15" customFormat="false" ht="28.5" hidden="false" customHeight="true" outlineLevel="0" collapsed="false">
      <c r="A15" s="14" t="n">
        <v>5</v>
      </c>
      <c r="B15" s="14" t="n">
        <v>3</v>
      </c>
      <c r="C15" s="14" t="s">
        <v>47</v>
      </c>
      <c r="D15" s="14" t="s">
        <v>48</v>
      </c>
      <c r="E15" s="14" t="s">
        <v>49</v>
      </c>
      <c r="F15" s="14" t="s">
        <v>50</v>
      </c>
      <c r="G15" s="20" t="s">
        <v>51</v>
      </c>
      <c r="H15" s="21" t="n">
        <v>1206</v>
      </c>
      <c r="I15" s="16" t="s">
        <v>31</v>
      </c>
      <c r="J15" s="20" t="s">
        <v>32</v>
      </c>
      <c r="K15" s="20" t="n">
        <v>28</v>
      </c>
      <c r="L15" s="22" t="s">
        <v>52</v>
      </c>
      <c r="M15" s="19"/>
      <c r="N15" s="19"/>
      <c r="O15" s="19"/>
      <c r="P15" s="19"/>
      <c r="Q15" s="19"/>
      <c r="R15" s="19"/>
    </row>
    <row r="16" customFormat="false" ht="30" hidden="false" customHeight="false" outlineLevel="0" collapsed="false">
      <c r="A16" s="14" t="n">
        <v>6</v>
      </c>
      <c r="B16" s="14" t="n">
        <v>4</v>
      </c>
      <c r="C16" s="14" t="s">
        <v>53</v>
      </c>
      <c r="D16" s="14" t="s">
        <v>54</v>
      </c>
      <c r="E16" s="14" t="s">
        <v>55</v>
      </c>
      <c r="F16" s="14" t="s">
        <v>54</v>
      </c>
      <c r="G16" s="23" t="s">
        <v>56</v>
      </c>
      <c r="H16" s="21" t="s">
        <v>57</v>
      </c>
      <c r="I16" s="20" t="s">
        <v>58</v>
      </c>
      <c r="J16" s="20" t="s">
        <v>32</v>
      </c>
      <c r="K16" s="20" t="n">
        <v>15</v>
      </c>
      <c r="L16" s="24" t="s">
        <v>59</v>
      </c>
      <c r="M16" s="19" t="n">
        <v>0.37</v>
      </c>
      <c r="N16" s="19" t="n">
        <f aca="false">B16*M16</f>
        <v>1.48</v>
      </c>
      <c r="O16" s="19" t="n">
        <v>0.09</v>
      </c>
      <c r="P16" s="19" t="n">
        <f aca="false">B16*O16</f>
        <v>0.36</v>
      </c>
      <c r="Q16" s="19" t="n">
        <f aca="false">0.4*O16</f>
        <v>0.036</v>
      </c>
      <c r="R16" s="19" t="n">
        <f aca="false">B16*Q16</f>
        <v>0.144</v>
      </c>
    </row>
    <row r="17" customFormat="false" ht="15.75" hidden="false" customHeight="false" outlineLevel="0" collapsed="false">
      <c r="A17" s="14" t="n">
        <v>7</v>
      </c>
      <c r="B17" s="14" t="n">
        <v>1</v>
      </c>
      <c r="C17" s="14" t="s">
        <v>60</v>
      </c>
      <c r="D17" s="14" t="s">
        <v>61</v>
      </c>
      <c r="E17" s="14" t="s">
        <v>62</v>
      </c>
      <c r="F17" s="14" t="s">
        <v>61</v>
      </c>
      <c r="G17" s="20" t="s">
        <v>63</v>
      </c>
      <c r="H17" s="21" t="s">
        <v>64</v>
      </c>
      <c r="I17" s="20" t="s">
        <v>65</v>
      </c>
      <c r="J17" s="20" t="s">
        <v>66</v>
      </c>
      <c r="K17" s="20" t="n">
        <v>12</v>
      </c>
      <c r="L17" s="22"/>
      <c r="M17" s="19" t="n">
        <v>2.7</v>
      </c>
      <c r="N17" s="19" t="n">
        <f aca="false">B17*M17</f>
        <v>2.7</v>
      </c>
      <c r="O17" s="19" t="n">
        <v>1.45</v>
      </c>
      <c r="P17" s="19" t="n">
        <f aca="false">B17*O17</f>
        <v>1.45</v>
      </c>
      <c r="Q17" s="19" t="n">
        <f aca="false">0.4*O17</f>
        <v>0.58</v>
      </c>
      <c r="R17" s="19" t="n">
        <f aca="false">B17*Q17</f>
        <v>0.58</v>
      </c>
    </row>
    <row r="18" customFormat="false" ht="15.75" hidden="false" customHeight="false" outlineLevel="0" collapsed="false">
      <c r="A18" s="14" t="n">
        <v>8</v>
      </c>
      <c r="B18" s="14" t="n">
        <v>1</v>
      </c>
      <c r="C18" s="14" t="s">
        <v>67</v>
      </c>
      <c r="D18" s="14" t="s">
        <v>68</v>
      </c>
      <c r="E18" s="14" t="s">
        <v>69</v>
      </c>
      <c r="F18" s="14" t="s">
        <v>68</v>
      </c>
      <c r="G18" s="20" t="s">
        <v>70</v>
      </c>
      <c r="H18" s="21"/>
      <c r="I18" s="20" t="s">
        <v>65</v>
      </c>
      <c r="J18" s="20" t="s">
        <v>32</v>
      </c>
      <c r="K18" s="20" t="n">
        <v>17</v>
      </c>
      <c r="L18" s="22"/>
      <c r="M18" s="19" t="n">
        <v>8.23</v>
      </c>
      <c r="N18" s="19" t="n">
        <f aca="false">B18*M18</f>
        <v>8.23</v>
      </c>
      <c r="O18" s="19" t="n">
        <v>4.9</v>
      </c>
      <c r="P18" s="19" t="n">
        <f aca="false">B18*O18</f>
        <v>4.9</v>
      </c>
      <c r="Q18" s="19" t="n">
        <f aca="false">0.4*O18</f>
        <v>1.96</v>
      </c>
      <c r="R18" s="19" t="n">
        <f aca="false">B18*Q18</f>
        <v>1.96</v>
      </c>
    </row>
    <row r="19" customFormat="false" ht="15.75" hidden="false" customHeight="false" outlineLevel="0" collapsed="false">
      <c r="A19" s="14" t="n">
        <v>9</v>
      </c>
      <c r="B19" s="14" t="n">
        <v>2</v>
      </c>
      <c r="C19" s="14" t="s">
        <v>71</v>
      </c>
      <c r="D19" s="14" t="s">
        <v>72</v>
      </c>
      <c r="E19" s="14" t="s">
        <v>73</v>
      </c>
      <c r="F19" s="14" t="s">
        <v>74</v>
      </c>
      <c r="G19" s="20" t="s">
        <v>75</v>
      </c>
      <c r="H19" s="21" t="n">
        <v>805</v>
      </c>
      <c r="I19" s="20" t="s">
        <v>76</v>
      </c>
      <c r="J19" s="20" t="s">
        <v>32</v>
      </c>
      <c r="K19" s="20" t="n">
        <v>19</v>
      </c>
      <c r="L19" s="22"/>
      <c r="M19" s="19" t="n">
        <v>0.29</v>
      </c>
      <c r="N19" s="19" t="n">
        <f aca="false">B19*M19</f>
        <v>0.58</v>
      </c>
      <c r="O19" s="19" t="n">
        <v>0.09</v>
      </c>
      <c r="P19" s="19" t="n">
        <f aca="false">B19*O19</f>
        <v>0.18</v>
      </c>
      <c r="Q19" s="19" t="n">
        <f aca="false">0.4*O19</f>
        <v>0.036</v>
      </c>
      <c r="R19" s="19" t="n">
        <f aca="false">B19*Q19</f>
        <v>0.072</v>
      </c>
    </row>
    <row r="20" customFormat="false" ht="30" hidden="false" customHeight="false" outlineLevel="0" collapsed="false">
      <c r="A20" s="14" t="n">
        <v>10</v>
      </c>
      <c r="B20" s="14" t="n">
        <v>4</v>
      </c>
      <c r="C20" s="14" t="s">
        <v>77</v>
      </c>
      <c r="D20" s="14" t="s">
        <v>78</v>
      </c>
      <c r="E20" s="14" t="s">
        <v>79</v>
      </c>
      <c r="F20" s="14" t="s">
        <v>78</v>
      </c>
      <c r="G20" s="20" t="s">
        <v>80</v>
      </c>
      <c r="H20" s="21" t="n">
        <v>805</v>
      </c>
      <c r="I20" s="20" t="s">
        <v>76</v>
      </c>
      <c r="J20" s="20" t="s">
        <v>66</v>
      </c>
      <c r="K20" s="20" t="n">
        <v>10</v>
      </c>
      <c r="L20" s="22" t="s">
        <v>81</v>
      </c>
      <c r="M20" s="19" t="n">
        <v>0.11</v>
      </c>
      <c r="N20" s="19" t="n">
        <f aca="false">B20*M20</f>
        <v>0.44</v>
      </c>
      <c r="O20" s="19" t="n">
        <v>0.029</v>
      </c>
      <c r="P20" s="19" t="n">
        <f aca="false">B20*O20</f>
        <v>0.116</v>
      </c>
      <c r="Q20" s="19" t="n">
        <f aca="false">0.4*O20</f>
        <v>0.0116</v>
      </c>
      <c r="R20" s="19" t="n">
        <f aca="false">B20*Q20</f>
        <v>0.0464</v>
      </c>
    </row>
    <row r="21" customFormat="false" ht="30" hidden="false" customHeight="false" outlineLevel="0" collapsed="false">
      <c r="A21" s="14" t="n">
        <v>11</v>
      </c>
      <c r="B21" s="14" t="n">
        <v>5</v>
      </c>
      <c r="C21" s="14" t="s">
        <v>82</v>
      </c>
      <c r="D21" s="14" t="s">
        <v>83</v>
      </c>
      <c r="E21" s="14" t="s">
        <v>84</v>
      </c>
      <c r="F21" s="14" t="s">
        <v>83</v>
      </c>
      <c r="G21" s="20" t="s">
        <v>75</v>
      </c>
      <c r="H21" s="21" t="n">
        <v>805</v>
      </c>
      <c r="I21" s="20" t="s">
        <v>76</v>
      </c>
      <c r="J21" s="20" t="s">
        <v>32</v>
      </c>
      <c r="K21" s="20" t="n">
        <v>8</v>
      </c>
      <c r="L21" s="22"/>
      <c r="M21" s="19" t="n">
        <v>0.14</v>
      </c>
      <c r="N21" s="19" t="n">
        <f aca="false">B21*M21</f>
        <v>0.7</v>
      </c>
      <c r="O21" s="19" t="n">
        <v>0.04</v>
      </c>
      <c r="P21" s="19" t="n">
        <f aca="false">B21*O21</f>
        <v>0.2</v>
      </c>
      <c r="Q21" s="19" t="n">
        <f aca="false">0.4*O21</f>
        <v>0.016</v>
      </c>
      <c r="R21" s="19" t="n">
        <f aca="false">B21*Q21</f>
        <v>0.08</v>
      </c>
    </row>
    <row r="22" customFormat="false" ht="30" hidden="false" customHeight="false" outlineLevel="0" collapsed="false">
      <c r="A22" s="14" t="n">
        <v>12</v>
      </c>
      <c r="B22" s="14" t="n">
        <v>2</v>
      </c>
      <c r="C22" s="14" t="s">
        <v>85</v>
      </c>
      <c r="D22" s="14" t="s">
        <v>86</v>
      </c>
      <c r="E22" s="14" t="s">
        <v>87</v>
      </c>
      <c r="F22" s="14" t="s">
        <v>86</v>
      </c>
      <c r="G22" s="20" t="s">
        <v>88</v>
      </c>
      <c r="H22" s="21" t="s">
        <v>89</v>
      </c>
      <c r="I22" s="20" t="s">
        <v>90</v>
      </c>
      <c r="J22" s="20" t="s">
        <v>32</v>
      </c>
      <c r="K22" s="20" t="n">
        <v>7</v>
      </c>
      <c r="L22" s="22"/>
      <c r="M22" s="19" t="n">
        <v>2.9</v>
      </c>
      <c r="N22" s="19" t="n">
        <f aca="false">B22*M22</f>
        <v>5.8</v>
      </c>
      <c r="O22" s="19" t="n">
        <v>1.1</v>
      </c>
      <c r="P22" s="19" t="n">
        <f aca="false">B22*O22</f>
        <v>2.2</v>
      </c>
      <c r="Q22" s="19" t="n">
        <f aca="false">0.4*O22</f>
        <v>0.44</v>
      </c>
      <c r="R22" s="19" t="n">
        <f aca="false">B22*Q22</f>
        <v>0.88</v>
      </c>
    </row>
    <row r="23" customFormat="false" ht="30" hidden="false" customHeight="false" outlineLevel="0" collapsed="false">
      <c r="A23" s="14" t="n">
        <v>13</v>
      </c>
      <c r="B23" s="14" t="n">
        <v>13</v>
      </c>
      <c r="C23" s="14" t="s">
        <v>91</v>
      </c>
      <c r="D23" s="14" t="s">
        <v>92</v>
      </c>
      <c r="E23" s="14" t="s">
        <v>93</v>
      </c>
      <c r="F23" s="14" t="s">
        <v>94</v>
      </c>
      <c r="G23" s="20" t="s">
        <v>95</v>
      </c>
      <c r="H23" s="21" t="n">
        <v>603</v>
      </c>
      <c r="I23" s="20" t="s">
        <v>96</v>
      </c>
      <c r="J23" s="20" t="s">
        <v>32</v>
      </c>
      <c r="K23" s="20" t="n">
        <v>14</v>
      </c>
      <c r="L23" s="22" t="s">
        <v>97</v>
      </c>
      <c r="M23" s="19" t="n">
        <v>0.1</v>
      </c>
      <c r="N23" s="19" t="n">
        <f aca="false">B23*M23</f>
        <v>1.3</v>
      </c>
      <c r="O23" s="19" t="n">
        <v>0.01</v>
      </c>
      <c r="P23" s="19" t="n">
        <f aca="false">B23*O23</f>
        <v>0.13</v>
      </c>
      <c r="Q23" s="19" t="n">
        <f aca="false">0.4*O23</f>
        <v>0.004</v>
      </c>
      <c r="R23" s="19" t="n">
        <f aca="false">B23*Q23</f>
        <v>0.052</v>
      </c>
    </row>
    <row r="24" customFormat="false" ht="15.75" hidden="false" customHeight="false" outlineLevel="0" collapsed="false">
      <c r="A24" s="14" t="n">
        <v>14</v>
      </c>
      <c r="B24" s="14" t="n">
        <v>2</v>
      </c>
      <c r="C24" s="14" t="s">
        <v>98</v>
      </c>
      <c r="D24" s="14" t="s">
        <v>99</v>
      </c>
      <c r="E24" s="14" t="s">
        <v>100</v>
      </c>
      <c r="F24" s="14" t="s">
        <v>101</v>
      </c>
      <c r="G24" s="20" t="s">
        <v>102</v>
      </c>
      <c r="H24" s="21" t="n">
        <v>603</v>
      </c>
      <c r="I24" s="20" t="s">
        <v>96</v>
      </c>
      <c r="J24" s="20" t="s">
        <v>32</v>
      </c>
      <c r="K24" s="20" t="n">
        <v>24</v>
      </c>
      <c r="L24" s="22"/>
      <c r="M24" s="19" t="n">
        <v>0.1</v>
      </c>
      <c r="N24" s="19" t="n">
        <f aca="false">B24*M24</f>
        <v>0.2</v>
      </c>
      <c r="O24" s="19" t="n">
        <v>0.04</v>
      </c>
      <c r="P24" s="19" t="n">
        <f aca="false">B24*O24</f>
        <v>0.08</v>
      </c>
      <c r="Q24" s="19" t="n">
        <f aca="false">0.4*O24</f>
        <v>0.016</v>
      </c>
      <c r="R24" s="19" t="n">
        <f aca="false">B24*Q24</f>
        <v>0.032</v>
      </c>
    </row>
    <row r="25" customFormat="false" ht="15.75" hidden="false" customHeight="false" outlineLevel="0" collapsed="false">
      <c r="A25" s="14" t="n">
        <v>15</v>
      </c>
      <c r="B25" s="14" t="n">
        <v>4</v>
      </c>
      <c r="C25" s="14" t="s">
        <v>103</v>
      </c>
      <c r="D25" s="14" t="s">
        <v>104</v>
      </c>
      <c r="E25" s="14" t="s">
        <v>105</v>
      </c>
      <c r="F25" s="14" t="s">
        <v>106</v>
      </c>
      <c r="G25" s="20" t="s">
        <v>107</v>
      </c>
      <c r="H25" s="21" t="n">
        <v>402</v>
      </c>
      <c r="I25" s="20" t="s">
        <v>96</v>
      </c>
      <c r="J25" s="20" t="s">
        <v>32</v>
      </c>
      <c r="K25" s="20" t="n">
        <v>35</v>
      </c>
      <c r="L25" s="22"/>
      <c r="M25" s="19" t="n">
        <v>0.1</v>
      </c>
      <c r="N25" s="19" t="n">
        <f aca="false">B25*M25</f>
        <v>0.4</v>
      </c>
      <c r="O25" s="19" t="n">
        <v>0.005</v>
      </c>
      <c r="P25" s="19" t="n">
        <f aca="false">B25*O25</f>
        <v>0.02</v>
      </c>
      <c r="Q25" s="19" t="n">
        <f aca="false">0.4*O25</f>
        <v>0.002</v>
      </c>
      <c r="R25" s="19" t="n">
        <f aca="false">B25*Q25</f>
        <v>0.008</v>
      </c>
    </row>
    <row r="26" customFormat="false" ht="15.75" hidden="false" customHeight="false" outlineLevel="0" collapsed="false">
      <c r="A26" s="14" t="n">
        <v>16</v>
      </c>
      <c r="B26" s="14" t="n">
        <v>4</v>
      </c>
      <c r="C26" s="14" t="s">
        <v>108</v>
      </c>
      <c r="D26" s="14" t="s">
        <v>109</v>
      </c>
      <c r="E26" s="14" t="s">
        <v>110</v>
      </c>
      <c r="F26" s="14" t="s">
        <v>111</v>
      </c>
      <c r="G26" s="20" t="s">
        <v>112</v>
      </c>
      <c r="H26" s="21" t="n">
        <v>603</v>
      </c>
      <c r="I26" s="20" t="s">
        <v>96</v>
      </c>
      <c r="J26" s="20" t="s">
        <v>32</v>
      </c>
      <c r="K26" s="20" t="n">
        <v>29</v>
      </c>
      <c r="L26" s="22" t="s">
        <v>113</v>
      </c>
      <c r="M26" s="19" t="n">
        <v>0.1</v>
      </c>
      <c r="N26" s="19" t="n">
        <f aca="false">B26*M26</f>
        <v>0.4</v>
      </c>
      <c r="O26" s="19" t="n">
        <v>0.005</v>
      </c>
      <c r="P26" s="19" t="n">
        <f aca="false">B26*O26</f>
        <v>0.02</v>
      </c>
      <c r="Q26" s="19" t="n">
        <f aca="false">0.4*O26</f>
        <v>0.002</v>
      </c>
      <c r="R26" s="19" t="n">
        <f aca="false">B26*Q26</f>
        <v>0.008</v>
      </c>
    </row>
    <row r="27" customFormat="false" ht="15.75" hidden="false" customHeight="false" outlineLevel="0" collapsed="false">
      <c r="A27" s="14" t="n">
        <v>17</v>
      </c>
      <c r="B27" s="14" t="n">
        <v>2</v>
      </c>
      <c r="C27" s="14" t="s">
        <v>114</v>
      </c>
      <c r="D27" s="14" t="s">
        <v>20</v>
      </c>
      <c r="E27" s="14" t="s">
        <v>115</v>
      </c>
      <c r="F27" s="14" t="s">
        <v>116</v>
      </c>
      <c r="G27" s="20" t="s">
        <v>117</v>
      </c>
      <c r="H27" s="21" t="n">
        <v>603</v>
      </c>
      <c r="I27" s="20" t="s">
        <v>96</v>
      </c>
      <c r="J27" s="20" t="s">
        <v>32</v>
      </c>
      <c r="K27" s="20" t="n">
        <v>24</v>
      </c>
      <c r="L27" s="22" t="s">
        <v>114</v>
      </c>
      <c r="M27" s="19" t="n">
        <v>0.1</v>
      </c>
      <c r="N27" s="19" t="n">
        <f aca="false">B27*M27</f>
        <v>0.2</v>
      </c>
      <c r="O27" s="19" t="n">
        <v>0.005</v>
      </c>
      <c r="P27" s="19" t="n">
        <f aca="false">B27*O27</f>
        <v>0.01</v>
      </c>
      <c r="Q27" s="19" t="n">
        <f aca="false">0.4*O27</f>
        <v>0.002</v>
      </c>
      <c r="R27" s="19" t="n">
        <f aca="false">B27*Q27</f>
        <v>0.004</v>
      </c>
    </row>
    <row r="28" customFormat="false" ht="30" hidden="false" customHeight="false" outlineLevel="0" collapsed="false">
      <c r="A28" s="14" t="n">
        <v>18</v>
      </c>
      <c r="B28" s="14" t="n">
        <v>1</v>
      </c>
      <c r="C28" s="14" t="s">
        <v>118</v>
      </c>
      <c r="D28" s="14" t="s">
        <v>119</v>
      </c>
      <c r="E28" s="14" t="s">
        <v>120</v>
      </c>
      <c r="F28" s="14" t="s">
        <v>119</v>
      </c>
      <c r="G28" s="20" t="s">
        <v>121</v>
      </c>
      <c r="H28" s="21" t="s">
        <v>122</v>
      </c>
      <c r="I28" s="20" t="s">
        <v>123</v>
      </c>
      <c r="J28" s="20" t="s">
        <v>32</v>
      </c>
      <c r="K28" s="20" t="n">
        <v>16</v>
      </c>
      <c r="L28" s="22"/>
      <c r="M28" s="19" t="n">
        <v>2.46</v>
      </c>
      <c r="N28" s="19" t="n">
        <f aca="false">B28*M28</f>
        <v>2.46</v>
      </c>
      <c r="O28" s="19" t="n">
        <v>1.13</v>
      </c>
      <c r="P28" s="19" t="n">
        <f aca="false">B28*O28</f>
        <v>1.13</v>
      </c>
      <c r="Q28" s="19" t="n">
        <f aca="false">0.4*O28</f>
        <v>0.452</v>
      </c>
      <c r="R28" s="19" t="n">
        <f aca="false">B28*Q28</f>
        <v>0.452</v>
      </c>
    </row>
    <row r="29" customFormat="false" ht="30" hidden="false" customHeight="false" outlineLevel="0" collapsed="false">
      <c r="A29" s="14" t="n">
        <v>19</v>
      </c>
      <c r="B29" s="14" t="n">
        <v>1</v>
      </c>
      <c r="C29" s="14" t="s">
        <v>124</v>
      </c>
      <c r="D29" s="14" t="s">
        <v>125</v>
      </c>
      <c r="E29" s="14" t="s">
        <v>126</v>
      </c>
      <c r="F29" s="14" t="s">
        <v>125</v>
      </c>
      <c r="G29" s="20" t="s">
        <v>121</v>
      </c>
      <c r="H29" s="21" t="s">
        <v>127</v>
      </c>
      <c r="I29" s="20" t="s">
        <v>123</v>
      </c>
      <c r="J29" s="20" t="s">
        <v>32</v>
      </c>
      <c r="K29" s="20" t="n">
        <v>6</v>
      </c>
      <c r="L29" s="22"/>
      <c r="M29" s="19" t="n">
        <v>1.6</v>
      </c>
      <c r="N29" s="19" t="n">
        <f aca="false">B29*M29</f>
        <v>1.6</v>
      </c>
      <c r="O29" s="19" t="n">
        <v>0.6</v>
      </c>
      <c r="P29" s="19" t="n">
        <f aca="false">B29*O29</f>
        <v>0.6</v>
      </c>
      <c r="Q29" s="19" t="n">
        <f aca="false">0.4*O29</f>
        <v>0.24</v>
      </c>
      <c r="R29" s="19" t="n">
        <f aca="false">B29*Q29</f>
        <v>0.24</v>
      </c>
    </row>
    <row r="30" customFormat="false" ht="30" hidden="false" customHeight="false" outlineLevel="0" collapsed="false">
      <c r="A30" s="14" t="n">
        <v>20</v>
      </c>
      <c r="B30" s="14" t="n">
        <v>1</v>
      </c>
      <c r="C30" s="14" t="s">
        <v>128</v>
      </c>
      <c r="D30" s="14" t="s">
        <v>129</v>
      </c>
      <c r="E30" s="14" t="s">
        <v>130</v>
      </c>
      <c r="F30" s="14" t="s">
        <v>129</v>
      </c>
      <c r="G30" s="20" t="s">
        <v>121</v>
      </c>
      <c r="H30" s="21" t="s">
        <v>131</v>
      </c>
      <c r="I30" s="20" t="s">
        <v>123</v>
      </c>
      <c r="J30" s="20" t="s">
        <v>32</v>
      </c>
      <c r="K30" s="20" t="n">
        <v>6</v>
      </c>
      <c r="L30" s="22"/>
      <c r="M30" s="19" t="n">
        <v>0.63</v>
      </c>
      <c r="N30" s="19" t="n">
        <f aca="false">B30*M30</f>
        <v>0.63</v>
      </c>
      <c r="O30" s="19" t="n">
        <v>0.2</v>
      </c>
      <c r="P30" s="19" t="n">
        <f aca="false">B30*O30</f>
        <v>0.2</v>
      </c>
      <c r="Q30" s="19" t="n">
        <f aca="false">0.4*O30</f>
        <v>0.08</v>
      </c>
      <c r="R30" s="19" t="n">
        <f aca="false">B30*Q30</f>
        <v>0.08</v>
      </c>
    </row>
    <row r="31" customFormat="false" ht="30" hidden="false" customHeight="false" outlineLevel="0" collapsed="false">
      <c r="A31" s="14" t="n">
        <v>21</v>
      </c>
      <c r="B31" s="14" t="n">
        <v>1</v>
      </c>
      <c r="C31" s="14" t="s">
        <v>132</v>
      </c>
      <c r="D31" s="14" t="s">
        <v>133</v>
      </c>
      <c r="E31" s="14" t="s">
        <v>134</v>
      </c>
      <c r="F31" s="14" t="s">
        <v>133</v>
      </c>
      <c r="G31" s="20" t="s">
        <v>121</v>
      </c>
      <c r="H31" s="21" t="s">
        <v>135</v>
      </c>
      <c r="I31" s="20" t="s">
        <v>123</v>
      </c>
      <c r="J31" s="20" t="s">
        <v>32</v>
      </c>
      <c r="K31" s="20" t="n">
        <v>35</v>
      </c>
      <c r="L31" s="22"/>
      <c r="M31" s="19" t="n">
        <v>2.66</v>
      </c>
      <c r="N31" s="19" t="n">
        <f aca="false">B31*M31</f>
        <v>2.66</v>
      </c>
      <c r="O31" s="19" t="n">
        <v>1.33</v>
      </c>
      <c r="P31" s="19" t="n">
        <f aca="false">B31*O31</f>
        <v>1.33</v>
      </c>
      <c r="Q31" s="19" t="n">
        <f aca="false">0.4*O31</f>
        <v>0.532</v>
      </c>
      <c r="R31" s="19" t="n">
        <f aca="false">B31*Q31</f>
        <v>0.532</v>
      </c>
    </row>
    <row r="32" customFormat="false" ht="30" hidden="false" customHeight="false" outlineLevel="0" collapsed="false">
      <c r="A32" s="14" t="n">
        <v>22</v>
      </c>
      <c r="B32" s="14" t="n">
        <v>1</v>
      </c>
      <c r="C32" s="14" t="s">
        <v>136</v>
      </c>
      <c r="D32" s="14" t="s">
        <v>137</v>
      </c>
      <c r="E32" s="14" t="s">
        <v>138</v>
      </c>
      <c r="F32" s="14" t="s">
        <v>137</v>
      </c>
      <c r="G32" s="20" t="s">
        <v>121</v>
      </c>
      <c r="H32" s="21" t="s">
        <v>139</v>
      </c>
      <c r="I32" s="20" t="s">
        <v>123</v>
      </c>
      <c r="J32" s="20" t="s">
        <v>32</v>
      </c>
      <c r="K32" s="20" t="n">
        <v>6</v>
      </c>
      <c r="L32" s="22"/>
      <c r="M32" s="19" t="n">
        <v>4.56</v>
      </c>
      <c r="N32" s="19" t="n">
        <f aca="false">B32*M32</f>
        <v>4.56</v>
      </c>
      <c r="O32" s="19" t="n">
        <v>2.3</v>
      </c>
      <c r="P32" s="19" t="n">
        <f aca="false">B32*O32</f>
        <v>2.3</v>
      </c>
      <c r="Q32" s="19" t="n">
        <f aca="false">0.4*O32</f>
        <v>0.92</v>
      </c>
      <c r="R32" s="19" t="n">
        <f aca="false">B32*Q32</f>
        <v>0.92</v>
      </c>
    </row>
    <row r="33" customFormat="false" ht="30" hidden="false" customHeight="false" outlineLevel="0" collapsed="false">
      <c r="A33" s="14" t="n">
        <v>23</v>
      </c>
      <c r="B33" s="14" t="n">
        <v>2</v>
      </c>
      <c r="C33" s="14" t="s">
        <v>140</v>
      </c>
      <c r="D33" s="14" t="s">
        <v>141</v>
      </c>
      <c r="E33" s="14" t="s">
        <v>142</v>
      </c>
      <c r="F33" s="14" t="s">
        <v>141</v>
      </c>
      <c r="G33" s="20" t="s">
        <v>143</v>
      </c>
      <c r="H33" s="21" t="s">
        <v>144</v>
      </c>
      <c r="I33" s="20" t="s">
        <v>123</v>
      </c>
      <c r="J33" s="20" t="s">
        <v>32</v>
      </c>
      <c r="K33" s="20" t="n">
        <v>14</v>
      </c>
      <c r="L33" s="22"/>
      <c r="M33" s="19" t="n">
        <v>4</v>
      </c>
      <c r="N33" s="19" t="n">
        <f aca="false">B33*M33</f>
        <v>8</v>
      </c>
      <c r="O33" s="19" t="n">
        <v>2.3</v>
      </c>
      <c r="P33" s="19" t="n">
        <f aca="false">B33*O33</f>
        <v>4.6</v>
      </c>
      <c r="Q33" s="19" t="n">
        <f aca="false">0.4*O33</f>
        <v>0.92</v>
      </c>
      <c r="R33" s="19" t="n">
        <f aca="false">B33*Q33</f>
        <v>1.84</v>
      </c>
    </row>
    <row r="34" customFormat="false" ht="15.75" hidden="false" customHeight="false" outlineLevel="0" collapsed="false">
      <c r="A34" s="14" t="n">
        <v>24</v>
      </c>
      <c r="B34" s="14" t="n">
        <v>3</v>
      </c>
      <c r="C34" s="14" t="s">
        <v>145</v>
      </c>
      <c r="D34" s="14" t="s">
        <v>146</v>
      </c>
      <c r="E34" s="14" t="s">
        <v>147</v>
      </c>
      <c r="F34" s="14" t="s">
        <v>146</v>
      </c>
      <c r="G34" s="20" t="s">
        <v>143</v>
      </c>
      <c r="H34" s="21" t="s">
        <v>144</v>
      </c>
      <c r="I34" s="20" t="s">
        <v>123</v>
      </c>
      <c r="J34" s="20" t="s">
        <v>32</v>
      </c>
      <c r="K34" s="20" t="n">
        <v>26</v>
      </c>
      <c r="L34" s="25"/>
      <c r="M34" s="19" t="n">
        <v>2.9</v>
      </c>
      <c r="N34" s="19" t="n">
        <f aca="false">B34*M34</f>
        <v>8.7</v>
      </c>
      <c r="O34" s="19" t="n">
        <v>1.7</v>
      </c>
      <c r="P34" s="19" t="n">
        <f aca="false">B34*O34</f>
        <v>5.1</v>
      </c>
      <c r="Q34" s="19" t="n">
        <f aca="false">0.4*O34</f>
        <v>0.68</v>
      </c>
      <c r="R34" s="19" t="n">
        <f aca="false">B34*Q34</f>
        <v>2.04</v>
      </c>
    </row>
    <row r="35" customFormat="false" ht="15.75" hidden="false" customHeight="false" outlineLevel="0" collapsed="false">
      <c r="A35" s="14" t="n">
        <v>25</v>
      </c>
      <c r="B35" s="14" t="n">
        <v>5</v>
      </c>
      <c r="C35" s="14" t="s">
        <v>148</v>
      </c>
      <c r="D35" s="14" t="s">
        <v>149</v>
      </c>
      <c r="E35" s="14" t="s">
        <v>150</v>
      </c>
      <c r="F35" s="14" t="s">
        <v>151</v>
      </c>
      <c r="G35" s="20" t="s">
        <v>149</v>
      </c>
      <c r="H35" s="21" t="s">
        <v>152</v>
      </c>
      <c r="I35" s="20" t="s">
        <v>58</v>
      </c>
      <c r="J35" s="20" t="s">
        <v>32</v>
      </c>
      <c r="K35" s="20" t="n">
        <v>43</v>
      </c>
      <c r="L35" s="25"/>
      <c r="M35" s="19" t="n">
        <v>0.14</v>
      </c>
      <c r="N35" s="19" t="n">
        <f aca="false">B35*M35</f>
        <v>0.7</v>
      </c>
      <c r="O35" s="19" t="n">
        <v>0.02</v>
      </c>
      <c r="P35" s="19" t="n">
        <f aca="false">O35*B35</f>
        <v>0.1</v>
      </c>
      <c r="Q35" s="19" t="n">
        <f aca="false">O35*0.4</f>
        <v>0.008</v>
      </c>
      <c r="R35" s="19" t="n">
        <f aca="false">B35*Q35</f>
        <v>0.04</v>
      </c>
    </row>
    <row r="36" s="31" customFormat="true" ht="15" hidden="false" customHeight="false" outlineLevel="0" collapsed="false">
      <c r="A36" s="26" t="n">
        <v>26</v>
      </c>
      <c r="B36" s="26" t="n">
        <v>2</v>
      </c>
      <c r="C36" s="26" t="s">
        <v>153</v>
      </c>
      <c r="D36" s="26" t="s">
        <v>20</v>
      </c>
      <c r="E36" s="26" t="s">
        <v>20</v>
      </c>
      <c r="F36" s="26" t="s">
        <v>20</v>
      </c>
      <c r="G36" s="27" t="s">
        <v>20</v>
      </c>
      <c r="H36" s="28" t="s">
        <v>154</v>
      </c>
      <c r="I36" s="29" t="s">
        <v>20</v>
      </c>
      <c r="J36" s="28" t="s">
        <v>32</v>
      </c>
      <c r="K36" s="28" t="n">
        <v>26</v>
      </c>
      <c r="L36" s="28"/>
      <c r="M36" s="30"/>
      <c r="N36" s="30"/>
      <c r="O36" s="30"/>
      <c r="P36" s="30"/>
      <c r="Q36" s="30"/>
      <c r="R36" s="30"/>
    </row>
    <row r="37" s="31" customFormat="true" ht="15.75" hidden="false" customHeight="false" outlineLevel="0" collapsed="false">
      <c r="A37" s="26" t="n">
        <v>27</v>
      </c>
      <c r="B37" s="26" t="n">
        <v>2</v>
      </c>
      <c r="C37" s="26" t="s">
        <v>155</v>
      </c>
      <c r="D37" s="32" t="s">
        <v>20</v>
      </c>
      <c r="E37" s="32" t="s">
        <v>20</v>
      </c>
      <c r="F37" s="32" t="s">
        <v>20</v>
      </c>
      <c r="G37" s="33" t="s">
        <v>20</v>
      </c>
      <c r="H37" s="34" t="n">
        <v>603</v>
      </c>
      <c r="I37" s="33" t="s">
        <v>20</v>
      </c>
      <c r="J37" s="28" t="s">
        <v>32</v>
      </c>
      <c r="K37" s="28" t="n">
        <v>20</v>
      </c>
      <c r="L37" s="28"/>
      <c r="M37" s="30"/>
      <c r="N37" s="30"/>
      <c r="O37" s="30"/>
      <c r="P37" s="30"/>
      <c r="Q37" s="30"/>
      <c r="R37" s="30"/>
    </row>
    <row r="38" customFormat="false" ht="15" hidden="false" customHeight="false" outlineLevel="0" collapsed="false">
      <c r="M38" s="35"/>
      <c r="N38" s="35"/>
      <c r="O38" s="35"/>
      <c r="P38" s="35"/>
      <c r="Q38" s="35"/>
      <c r="R38" s="35"/>
    </row>
    <row r="39" customFormat="false" ht="15.75" hidden="false" customHeight="false" outlineLevel="0" collapsed="false">
      <c r="A39" s="36" t="s">
        <v>156</v>
      </c>
      <c r="M39" s="19" t="s">
        <v>157</v>
      </c>
      <c r="N39" s="19" t="n">
        <f aca="false">SUM(N11:N38)</f>
        <v>56.67</v>
      </c>
      <c r="O39" s="19"/>
      <c r="P39" s="19" t="n">
        <f aca="false">SUM(P11:P38)</f>
        <v>25.924</v>
      </c>
      <c r="Q39" s="19"/>
      <c r="R39" s="19" t="n">
        <f aca="false">SUM(R11:R38)</f>
        <v>10.3696</v>
      </c>
    </row>
    <row r="40" customFormat="false" ht="15.75" hidden="false" customHeight="false" outlineLevel="0" collapsed="false">
      <c r="A40" s="37" t="s">
        <v>158</v>
      </c>
      <c r="M40" s="19"/>
      <c r="N40" s="19"/>
      <c r="O40" s="19"/>
      <c r="P40" s="19"/>
      <c r="Q40" s="19"/>
      <c r="R40" s="19"/>
    </row>
    <row r="41" customFormat="false" ht="13.8" hidden="false" customHeight="false" outlineLevel="0" collapsed="false">
      <c r="A41" s="38" t="s">
        <v>159</v>
      </c>
      <c r="D41" s="0"/>
      <c r="E41" s="0" t="s">
        <v>160</v>
      </c>
      <c r="F41" s="38" t="s">
        <v>161</v>
      </c>
      <c r="G41" s="0"/>
    </row>
    <row r="54" customFormat="false" ht="13.8" hidden="false" customHeight="false" outlineLevel="0" collapsed="false">
      <c r="A54" s="39" t="s">
        <v>162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</row>
    <row r="55" customFormat="false" ht="13.8" hidden="false" customHeight="false" outlineLevel="0" collapsed="false">
      <c r="A55" s="37" t="s">
        <v>163</v>
      </c>
    </row>
    <row r="56" s="31" customFormat="true" ht="15.75" hidden="false" customHeight="false" outlineLevel="0" collapsed="false">
      <c r="A56" s="26" t="n">
        <v>26</v>
      </c>
      <c r="B56" s="26" t="n">
        <v>2</v>
      </c>
      <c r="C56" s="26" t="s">
        <v>153</v>
      </c>
      <c r="D56" s="26" t="s">
        <v>164</v>
      </c>
      <c r="E56" s="26" t="s">
        <v>165</v>
      </c>
      <c r="F56" s="26" t="s">
        <v>164</v>
      </c>
      <c r="G56" s="26" t="s">
        <v>166</v>
      </c>
      <c r="H56" s="28" t="s">
        <v>154</v>
      </c>
      <c r="I56" s="34" t="s">
        <v>90</v>
      </c>
      <c r="J56" s="28" t="s">
        <v>32</v>
      </c>
      <c r="K56" s="28" t="n">
        <v>26</v>
      </c>
      <c r="L56" s="28"/>
      <c r="M56" s="30" t="n">
        <v>0.14</v>
      </c>
      <c r="N56" s="30" t="n">
        <f aca="false">B56*M56</f>
        <v>0.28</v>
      </c>
      <c r="O56" s="30" t="n">
        <v>0.02862</v>
      </c>
      <c r="P56" s="30" t="n">
        <f aca="false">O56*B56</f>
        <v>0.05724</v>
      </c>
      <c r="Q56" s="30" t="n">
        <f aca="false">O56*0.4</f>
        <v>0.011448</v>
      </c>
      <c r="R56" s="30" t="n">
        <f aca="false">B56*Q56</f>
        <v>0.022896</v>
      </c>
    </row>
    <row r="57" s="31" customFormat="true" ht="15.75" hidden="false" customHeight="false" outlineLevel="0" collapsed="false">
      <c r="A57" s="26" t="n">
        <v>27</v>
      </c>
      <c r="B57" s="26" t="n">
        <v>2</v>
      </c>
      <c r="C57" s="26" t="s">
        <v>155</v>
      </c>
      <c r="D57" s="26" t="s">
        <v>167</v>
      </c>
      <c r="E57" s="26" t="s">
        <v>168</v>
      </c>
      <c r="F57" s="26" t="s">
        <v>169</v>
      </c>
      <c r="G57" s="28" t="s">
        <v>102</v>
      </c>
      <c r="H57" s="34" t="n">
        <v>603</v>
      </c>
      <c r="I57" s="28" t="s">
        <v>96</v>
      </c>
      <c r="J57" s="28" t="s">
        <v>32</v>
      </c>
      <c r="K57" s="28" t="n">
        <v>20</v>
      </c>
      <c r="L57" s="28"/>
      <c r="M57" s="30" t="n">
        <v>0.1</v>
      </c>
      <c r="N57" s="30" t="n">
        <f aca="false">B57*M57</f>
        <v>0.2</v>
      </c>
      <c r="O57" s="30" t="n">
        <v>0.00378</v>
      </c>
      <c r="P57" s="30" t="n">
        <f aca="false">O57*B57</f>
        <v>0.00756</v>
      </c>
      <c r="Q57" s="30" t="n">
        <f aca="false">O57*0.4</f>
        <v>0.001512</v>
      </c>
      <c r="R57" s="30" t="n">
        <f aca="false">B57*Q57</f>
        <v>0.003024</v>
      </c>
    </row>
  </sheetData>
  <autoFilter ref="A10:R37"/>
  <mergeCells count="6">
    <mergeCell ref="B1:D1"/>
    <mergeCell ref="B2:D2"/>
    <mergeCell ref="B3:D3"/>
    <mergeCell ref="B4:D4"/>
    <mergeCell ref="B5:D5"/>
    <mergeCell ref="A6:D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2020-12-11T12:20:17Z</dcterms:created>
  <dc:creator>AJAYKUMAR AJANAL</dc:creator>
  <dc:description/>
  <dc:language>en-US</dc:language>
  <cp:lastModifiedBy/>
  <dcterms:modified xsi:type="dcterms:W3CDTF">2022-11-18T15:14:26Z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