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park-Consultants\robertMeares-VCU-BCU\"/>
    </mc:Choice>
  </mc:AlternateContent>
  <xr:revisionPtr revIDLastSave="0" documentId="13_ncr:1_{F0142A9E-85DB-413B-AB2E-DBF6B6D2436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RRIER_BOARD_S2_V2.0" sheetId="1" r:id="rId1"/>
    <sheet name="New_Components" sheetId="2" r:id="rId2"/>
  </sheets>
  <definedNames>
    <definedName name="_xlnm._FilterDatabase" localSheetId="0" hidden="1">'CARRIER_BOARD_S2_V2.0'!$A$1:$T$118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17" i="1" l="1"/>
  <c r="T117" i="1" s="1"/>
  <c r="R117" i="1"/>
  <c r="P117" i="1"/>
  <c r="S116" i="1"/>
  <c r="T116" i="1" s="1"/>
  <c r="R116" i="1"/>
  <c r="P116" i="1"/>
  <c r="S115" i="1"/>
  <c r="T115" i="1" s="1"/>
  <c r="R115" i="1"/>
  <c r="P115" i="1"/>
  <c r="S114" i="1"/>
  <c r="T114" i="1" s="1"/>
  <c r="R114" i="1"/>
  <c r="P114" i="1"/>
  <c r="S113" i="1"/>
  <c r="T113" i="1" s="1"/>
  <c r="R113" i="1"/>
  <c r="P113" i="1"/>
  <c r="S112" i="1"/>
  <c r="T112" i="1" s="1"/>
  <c r="R112" i="1"/>
  <c r="P112" i="1"/>
  <c r="S111" i="1"/>
  <c r="T111" i="1" s="1"/>
  <c r="R111" i="1"/>
  <c r="P111" i="1"/>
  <c r="S110" i="1"/>
  <c r="T110" i="1" s="1"/>
  <c r="R110" i="1"/>
  <c r="P110" i="1"/>
  <c r="S109" i="1"/>
  <c r="T109" i="1" s="1"/>
  <c r="R109" i="1"/>
  <c r="P109" i="1"/>
  <c r="S108" i="1"/>
  <c r="T108" i="1" s="1"/>
  <c r="R108" i="1"/>
  <c r="P108" i="1"/>
  <c r="S107" i="1"/>
  <c r="T107" i="1" s="1"/>
  <c r="R107" i="1"/>
  <c r="P107" i="1"/>
  <c r="S106" i="1"/>
  <c r="T106" i="1" s="1"/>
  <c r="R106" i="1"/>
  <c r="P106" i="1"/>
  <c r="S105" i="1"/>
  <c r="T105" i="1" s="1"/>
  <c r="R105" i="1"/>
  <c r="P105" i="1"/>
  <c r="S104" i="1"/>
  <c r="T104" i="1" s="1"/>
  <c r="R104" i="1"/>
  <c r="P104" i="1"/>
  <c r="S103" i="1"/>
  <c r="T103" i="1" s="1"/>
  <c r="R103" i="1"/>
  <c r="P103" i="1"/>
  <c r="T102" i="1"/>
  <c r="R102" i="1"/>
  <c r="P102" i="1"/>
  <c r="S101" i="1"/>
  <c r="T101" i="1" s="1"/>
  <c r="R101" i="1"/>
  <c r="P101" i="1"/>
  <c r="S100" i="1"/>
  <c r="T100" i="1" s="1"/>
  <c r="R100" i="1"/>
  <c r="P100" i="1"/>
  <c r="S99" i="1"/>
  <c r="T99" i="1" s="1"/>
  <c r="R99" i="1"/>
  <c r="P99" i="1"/>
  <c r="S98" i="1"/>
  <c r="T98" i="1" s="1"/>
  <c r="R98" i="1"/>
  <c r="P98" i="1"/>
  <c r="T97" i="1"/>
  <c r="S96" i="1"/>
  <c r="T96" i="1" s="1"/>
  <c r="R96" i="1"/>
  <c r="P96" i="1"/>
  <c r="S95" i="1"/>
  <c r="T95" i="1" s="1"/>
  <c r="R95" i="1"/>
  <c r="P95" i="1"/>
  <c r="S94" i="1"/>
  <c r="T94" i="1" s="1"/>
  <c r="R94" i="1"/>
  <c r="P94" i="1"/>
  <c r="S93" i="1"/>
  <c r="T93" i="1" s="1"/>
  <c r="R93" i="1"/>
  <c r="P93" i="1"/>
  <c r="S92" i="1"/>
  <c r="T92" i="1" s="1"/>
  <c r="R92" i="1"/>
  <c r="P92" i="1"/>
  <c r="S91" i="1"/>
  <c r="T91" i="1" s="1"/>
  <c r="R91" i="1"/>
  <c r="P91" i="1"/>
  <c r="S90" i="1"/>
  <c r="T90" i="1" s="1"/>
  <c r="R90" i="1"/>
  <c r="P90" i="1"/>
  <c r="S89" i="1"/>
  <c r="T89" i="1" s="1"/>
  <c r="R89" i="1"/>
  <c r="P89" i="1"/>
  <c r="S88" i="1"/>
  <c r="T88" i="1" s="1"/>
  <c r="R88" i="1"/>
  <c r="P88" i="1"/>
  <c r="S87" i="1"/>
  <c r="T87" i="1" s="1"/>
  <c r="R87" i="1"/>
  <c r="P87" i="1"/>
  <c r="S86" i="1"/>
  <c r="T86" i="1" s="1"/>
  <c r="R86" i="1"/>
  <c r="P86" i="1"/>
  <c r="S85" i="1"/>
  <c r="T85" i="1" s="1"/>
  <c r="R85" i="1"/>
  <c r="P85" i="1"/>
  <c r="S84" i="1"/>
  <c r="T84" i="1" s="1"/>
  <c r="R84" i="1"/>
  <c r="P84" i="1"/>
  <c r="S83" i="1"/>
  <c r="T83" i="1" s="1"/>
  <c r="R83" i="1"/>
  <c r="P83" i="1"/>
  <c r="S82" i="1"/>
  <c r="T82" i="1" s="1"/>
  <c r="R82" i="1"/>
  <c r="P82" i="1"/>
  <c r="S81" i="1"/>
  <c r="T81" i="1" s="1"/>
  <c r="R81" i="1"/>
  <c r="P81" i="1"/>
  <c r="S80" i="1"/>
  <c r="T80" i="1" s="1"/>
  <c r="R80" i="1"/>
  <c r="P80" i="1"/>
  <c r="S79" i="1"/>
  <c r="T79" i="1" s="1"/>
  <c r="R79" i="1"/>
  <c r="P79" i="1"/>
  <c r="S78" i="1"/>
  <c r="T78" i="1" s="1"/>
  <c r="R78" i="1"/>
  <c r="P78" i="1"/>
  <c r="S77" i="1"/>
  <c r="T77" i="1" s="1"/>
  <c r="R77" i="1"/>
  <c r="P77" i="1"/>
  <c r="S76" i="1"/>
  <c r="T76" i="1" s="1"/>
  <c r="R76" i="1"/>
  <c r="P76" i="1"/>
  <c r="S75" i="1"/>
  <c r="T75" i="1" s="1"/>
  <c r="R75" i="1"/>
  <c r="P75" i="1"/>
  <c r="S74" i="1"/>
  <c r="T74" i="1" s="1"/>
  <c r="R74" i="1"/>
  <c r="P74" i="1"/>
  <c r="S73" i="1"/>
  <c r="T73" i="1" s="1"/>
  <c r="R73" i="1"/>
  <c r="P73" i="1"/>
  <c r="S72" i="1"/>
  <c r="T72" i="1" s="1"/>
  <c r="R72" i="1"/>
  <c r="P72" i="1"/>
  <c r="S71" i="1"/>
  <c r="T71" i="1" s="1"/>
  <c r="R71" i="1"/>
  <c r="P71" i="1"/>
  <c r="S70" i="1"/>
  <c r="T70" i="1" s="1"/>
  <c r="R70" i="1"/>
  <c r="P70" i="1"/>
  <c r="S69" i="1"/>
  <c r="T69" i="1" s="1"/>
  <c r="R69" i="1"/>
  <c r="P69" i="1"/>
  <c r="S68" i="1"/>
  <c r="T68" i="1" s="1"/>
  <c r="R68" i="1"/>
  <c r="P68" i="1"/>
  <c r="S67" i="1"/>
  <c r="T67" i="1" s="1"/>
  <c r="R67" i="1"/>
  <c r="P67" i="1"/>
  <c r="S66" i="1"/>
  <c r="T66" i="1" s="1"/>
  <c r="R66" i="1"/>
  <c r="P66" i="1"/>
  <c r="S65" i="1"/>
  <c r="T65" i="1" s="1"/>
  <c r="R65" i="1"/>
  <c r="P65" i="1"/>
  <c r="S64" i="1"/>
  <c r="T64" i="1" s="1"/>
  <c r="R64" i="1"/>
  <c r="P64" i="1"/>
  <c r="S63" i="1"/>
  <c r="T63" i="1" s="1"/>
  <c r="R63" i="1"/>
  <c r="P63" i="1"/>
  <c r="S62" i="1"/>
  <c r="T62" i="1" s="1"/>
  <c r="R62" i="1"/>
  <c r="P62" i="1"/>
  <c r="S61" i="1"/>
  <c r="T61" i="1" s="1"/>
  <c r="R61" i="1"/>
  <c r="P61" i="1"/>
  <c r="S60" i="1"/>
  <c r="T60" i="1" s="1"/>
  <c r="R60" i="1"/>
  <c r="P60" i="1"/>
  <c r="S59" i="1"/>
  <c r="T59" i="1" s="1"/>
  <c r="R59" i="1"/>
  <c r="P59" i="1"/>
  <c r="S58" i="1"/>
  <c r="T58" i="1" s="1"/>
  <c r="R58" i="1"/>
  <c r="P58" i="1"/>
  <c r="S57" i="1"/>
  <c r="T57" i="1" s="1"/>
  <c r="R57" i="1"/>
  <c r="P57" i="1"/>
  <c r="S56" i="1"/>
  <c r="T56" i="1" s="1"/>
  <c r="R56" i="1"/>
  <c r="P56" i="1"/>
  <c r="S55" i="1"/>
  <c r="T55" i="1" s="1"/>
  <c r="R55" i="1"/>
  <c r="P55" i="1"/>
  <c r="S53" i="1"/>
  <c r="T53" i="1" s="1"/>
  <c r="R53" i="1"/>
  <c r="P53" i="1"/>
  <c r="S52" i="1"/>
  <c r="T52" i="1" s="1"/>
  <c r="R52" i="1"/>
  <c r="P52" i="1"/>
  <c r="S51" i="1"/>
  <c r="T51" i="1" s="1"/>
  <c r="R51" i="1"/>
  <c r="P51" i="1"/>
  <c r="S50" i="1"/>
  <c r="T50" i="1" s="1"/>
  <c r="R50" i="1"/>
  <c r="P50" i="1"/>
  <c r="S49" i="1"/>
  <c r="T49" i="1" s="1"/>
  <c r="R49" i="1"/>
  <c r="P49" i="1"/>
  <c r="S48" i="1"/>
  <c r="T48" i="1" s="1"/>
  <c r="R48" i="1"/>
  <c r="P48" i="1"/>
  <c r="S47" i="1"/>
  <c r="T47" i="1" s="1"/>
  <c r="R47" i="1"/>
  <c r="P47" i="1"/>
  <c r="S46" i="1"/>
  <c r="T46" i="1" s="1"/>
  <c r="R46" i="1"/>
  <c r="P46" i="1"/>
  <c r="S45" i="1"/>
  <c r="T45" i="1" s="1"/>
  <c r="R45" i="1"/>
  <c r="P45" i="1"/>
  <c r="S44" i="1"/>
  <c r="T44" i="1" s="1"/>
  <c r="R44" i="1"/>
  <c r="P44" i="1"/>
  <c r="S43" i="1"/>
  <c r="T43" i="1" s="1"/>
  <c r="R43" i="1"/>
  <c r="P43" i="1"/>
  <c r="S42" i="1"/>
  <c r="T42" i="1" s="1"/>
  <c r="R42" i="1"/>
  <c r="P42" i="1"/>
  <c r="Q41" i="1"/>
  <c r="S41" i="1" s="1"/>
  <c r="T41" i="1" s="1"/>
  <c r="P41" i="1"/>
  <c r="S40" i="1"/>
  <c r="T40" i="1" s="1"/>
  <c r="R40" i="1"/>
  <c r="P40" i="1"/>
  <c r="S39" i="1"/>
  <c r="T39" i="1" s="1"/>
  <c r="R39" i="1"/>
  <c r="P39" i="1"/>
  <c r="S38" i="1"/>
  <c r="T38" i="1" s="1"/>
  <c r="R38" i="1"/>
  <c r="P38" i="1"/>
  <c r="S37" i="1"/>
  <c r="T37" i="1" s="1"/>
  <c r="R37" i="1"/>
  <c r="P37" i="1"/>
  <c r="S36" i="1"/>
  <c r="T36" i="1" s="1"/>
  <c r="R36" i="1"/>
  <c r="P36" i="1"/>
  <c r="S35" i="1"/>
  <c r="T35" i="1" s="1"/>
  <c r="R35" i="1"/>
  <c r="P35" i="1"/>
  <c r="S34" i="1"/>
  <c r="T34" i="1" s="1"/>
  <c r="R34" i="1"/>
  <c r="P34" i="1"/>
  <c r="S33" i="1"/>
  <c r="T33" i="1" s="1"/>
  <c r="R33" i="1"/>
  <c r="P33" i="1"/>
  <c r="S32" i="1"/>
  <c r="T32" i="1" s="1"/>
  <c r="R32" i="1"/>
  <c r="P32" i="1"/>
  <c r="S31" i="1"/>
  <c r="T31" i="1" s="1"/>
  <c r="R31" i="1"/>
  <c r="P31" i="1"/>
  <c r="S30" i="1"/>
  <c r="T30" i="1" s="1"/>
  <c r="R30" i="1"/>
  <c r="P30" i="1"/>
  <c r="S29" i="1"/>
  <c r="T29" i="1" s="1"/>
  <c r="R29" i="1"/>
  <c r="P29" i="1"/>
  <c r="S28" i="1"/>
  <c r="T28" i="1" s="1"/>
  <c r="R28" i="1"/>
  <c r="P28" i="1"/>
  <c r="S27" i="1"/>
  <c r="T27" i="1" s="1"/>
  <c r="R27" i="1"/>
  <c r="P27" i="1"/>
  <c r="S26" i="1"/>
  <c r="T26" i="1" s="1"/>
  <c r="R26" i="1"/>
  <c r="P26" i="1"/>
  <c r="S25" i="1"/>
  <c r="T25" i="1" s="1"/>
  <c r="R25" i="1"/>
  <c r="P25" i="1"/>
  <c r="S24" i="1"/>
  <c r="T24" i="1" s="1"/>
  <c r="R24" i="1"/>
  <c r="P24" i="1"/>
  <c r="S23" i="1"/>
  <c r="T23" i="1" s="1"/>
  <c r="R23" i="1"/>
  <c r="P23" i="1"/>
  <c r="S22" i="1"/>
  <c r="T22" i="1" s="1"/>
  <c r="R22" i="1"/>
  <c r="P22" i="1"/>
  <c r="S21" i="1"/>
  <c r="T21" i="1" s="1"/>
  <c r="R21" i="1"/>
  <c r="P21" i="1"/>
  <c r="S20" i="1"/>
  <c r="T20" i="1" s="1"/>
  <c r="R20" i="1"/>
  <c r="P20" i="1"/>
  <c r="S19" i="1"/>
  <c r="T19" i="1" s="1"/>
  <c r="R19" i="1"/>
  <c r="P19" i="1"/>
  <c r="S18" i="1"/>
  <c r="T18" i="1" s="1"/>
  <c r="R18" i="1"/>
  <c r="P18" i="1"/>
  <c r="S17" i="1"/>
  <c r="T17" i="1" s="1"/>
  <c r="R17" i="1"/>
  <c r="P17" i="1"/>
  <c r="S16" i="1"/>
  <c r="T16" i="1" s="1"/>
  <c r="R16" i="1"/>
  <c r="P16" i="1"/>
  <c r="S15" i="1"/>
  <c r="T15" i="1" s="1"/>
  <c r="R15" i="1"/>
  <c r="P15" i="1"/>
  <c r="S14" i="1"/>
  <c r="T14" i="1" s="1"/>
  <c r="R14" i="1"/>
  <c r="P14" i="1"/>
  <c r="S13" i="1"/>
  <c r="T13" i="1" s="1"/>
  <c r="R13" i="1"/>
  <c r="P13" i="1"/>
  <c r="S12" i="1"/>
  <c r="T12" i="1" s="1"/>
  <c r="R12" i="1"/>
  <c r="P12" i="1"/>
  <c r="S11" i="1"/>
  <c r="T11" i="1" s="1"/>
  <c r="R11" i="1"/>
  <c r="P11" i="1"/>
  <c r="S10" i="1"/>
  <c r="T10" i="1" s="1"/>
  <c r="R10" i="1"/>
  <c r="P10" i="1"/>
  <c r="S9" i="1"/>
  <c r="T9" i="1" s="1"/>
  <c r="R9" i="1"/>
  <c r="P9" i="1"/>
  <c r="S8" i="1"/>
  <c r="T8" i="1" s="1"/>
  <c r="R8" i="1"/>
  <c r="P8" i="1"/>
  <c r="S7" i="1"/>
  <c r="T7" i="1" s="1"/>
  <c r="R7" i="1"/>
  <c r="P7" i="1"/>
  <c r="S6" i="1"/>
  <c r="T6" i="1" s="1"/>
  <c r="R6" i="1"/>
  <c r="P6" i="1"/>
  <c r="S5" i="1"/>
  <c r="T5" i="1" s="1"/>
  <c r="R5" i="1"/>
  <c r="P5" i="1"/>
  <c r="S4" i="1"/>
  <c r="T4" i="1" s="1"/>
  <c r="R4" i="1"/>
  <c r="P4" i="1"/>
  <c r="S3" i="1"/>
  <c r="T3" i="1" s="1"/>
  <c r="R3" i="1"/>
  <c r="P3" i="1"/>
  <c r="S2" i="1"/>
  <c r="T2" i="1" s="1"/>
  <c r="R2" i="1"/>
  <c r="P2" i="1"/>
  <c r="S1" i="1"/>
  <c r="T1" i="1" s="1"/>
  <c r="R1" i="1"/>
  <c r="P1" i="1"/>
  <c r="P118" i="1" l="1"/>
  <c r="T118" i="1"/>
  <c r="R41" i="1"/>
  <c r="R118" i="1" s="1"/>
</calcChain>
</file>

<file path=xl/sharedStrings.xml><?xml version="1.0" encoding="utf-8"?>
<sst xmlns="http://schemas.openxmlformats.org/spreadsheetml/2006/main" count="981" uniqueCount="542">
  <si>
    <t>C1,C142</t>
  </si>
  <si>
    <t>22uF</t>
  </si>
  <si>
    <t>CAP CER 22UF 10V X5R 0805</t>
  </si>
  <si>
    <t>TDK Corporation</t>
  </si>
  <si>
    <t>C2012X5R1A226M125AB</t>
  </si>
  <si>
    <t>Capacitor</t>
  </si>
  <si>
    <t>Yes</t>
  </si>
  <si>
    <t>C2,C3,C4,C5,C6</t>
  </si>
  <si>
    <t>4.7uF</t>
  </si>
  <si>
    <t>CAP CER 4.7UF 10V X5R 0603</t>
  </si>
  <si>
    <t>C1608X5R1A475K080AE</t>
  </si>
  <si>
    <t>NA</t>
  </si>
  <si>
    <t>C7,C10,C11,C12,C13,C16,C19,C20,C23,C24,C25,C26,C30,C33,C35,C36,C38,C39,C40,C41,C43,C44,C46,C49,C53,C54,C55,C56,C57,C58,C59,C60,C71,C75,C77,C80,C100,C111,C125,C130,C131,C132,C148</t>
  </si>
  <si>
    <t>100nF</t>
  </si>
  <si>
    <t>CAP CER 0402 0.1UF 16V X7R 10%</t>
  </si>
  <si>
    <t>KEMET</t>
  </si>
  <si>
    <t>C0402C104K4REC7867</t>
  </si>
  <si>
    <t>C8,C9</t>
  </si>
  <si>
    <t>10uF</t>
  </si>
  <si>
    <t>CAP CER 10UF 10V X5R 0603</t>
  </si>
  <si>
    <t>Samsung Electro-Mechanics</t>
  </si>
  <si>
    <t>CL10A106KP8NNNC</t>
  </si>
  <si>
    <t>No</t>
  </si>
  <si>
    <t>C14,C15</t>
  </si>
  <si>
    <t>15pF</t>
  </si>
  <si>
    <t>CAP CER 15PF 100V NP0 0805</t>
  </si>
  <si>
    <t>AVX Corporation</t>
  </si>
  <si>
    <t>08051A150FAT2A</t>
  </si>
  <si>
    <t>C17,C18,C27,C28</t>
  </si>
  <si>
    <t>CAP CER 10UF 16V X5R 0603</t>
  </si>
  <si>
    <t>Taiyo Yuden</t>
  </si>
  <si>
    <t>EMK107BBJ106MA-T</t>
  </si>
  <si>
    <t>C21,C22,C86,C87</t>
  </si>
  <si>
    <t>10nF</t>
  </si>
  <si>
    <t>CAP CER 10000PF 50V X7R 0402</t>
  </si>
  <si>
    <t>C0402C103K5RAC7411</t>
  </si>
  <si>
    <t>C29</t>
  </si>
  <si>
    <t>CL21A226KPCLRNC</t>
  </si>
  <si>
    <t>C34,C42,C45</t>
  </si>
  <si>
    <t>1nF,2KV</t>
  </si>
  <si>
    <t>CAP CER 1000PF 2KV X7R 1206</t>
  </si>
  <si>
    <t>CL31B102KJHNNNE</t>
  </si>
  <si>
    <t>C37,C98,C99,C109,C110,C145,C146</t>
  </si>
  <si>
    <t>47uF</t>
  </si>
  <si>
    <t>CAP CER 47UF 16V X5R 1210</t>
  </si>
  <si>
    <t>EMK325BJ476MM-P</t>
  </si>
  <si>
    <t>C146</t>
  </si>
  <si>
    <t>C47,C50</t>
  </si>
  <si>
    <t>100uF</t>
  </si>
  <si>
    <t>CAP CER 100UF 16V X5R 1210</t>
  </si>
  <si>
    <t>EMK325ABJ107MM-P</t>
  </si>
  <si>
    <t>C72</t>
  </si>
  <si>
    <t>CAP CER 100UF 10V X5R 1206</t>
  </si>
  <si>
    <t>C3216X5R1A107M160AC</t>
  </si>
  <si>
    <t>C48,C51</t>
  </si>
  <si>
    <t>1nF</t>
  </si>
  <si>
    <t>CAP CER 1000PF 50V X7R 0402</t>
  </si>
  <si>
    <t>C0402S102K5RAC7867</t>
  </si>
  <si>
    <t>C52,C63,C67,C69</t>
  </si>
  <si>
    <t>Murata Electronics</t>
  </si>
  <si>
    <t>GRM188R61A106KE69D</t>
  </si>
  <si>
    <t>C64,C68</t>
  </si>
  <si>
    <t>0.33uF</t>
  </si>
  <si>
    <t>CAP CER 0.33UF 16V X7R 0603</t>
  </si>
  <si>
    <t>C1608X7R1C334K080AC</t>
  </si>
  <si>
    <t>C76</t>
  </si>
  <si>
    <t>CAP CER 22UF 10V X7R 1206</t>
  </si>
  <si>
    <t>CL31B226MPHNNNE</t>
  </si>
  <si>
    <t>C78,C79,C81,C82,C83,C84,C85,C147</t>
  </si>
  <si>
    <t>100PF</t>
  </si>
  <si>
    <t>CAP CER 100PF 50V NP0 0603</t>
  </si>
  <si>
    <t>C1608NP01H101J080AA</t>
  </si>
  <si>
    <t>C88,C89,C90,C92</t>
  </si>
  <si>
    <t>CAP CER 4.7UF 50V X5R 1210</t>
  </si>
  <si>
    <t>UMK325BJ475MM-T</t>
  </si>
  <si>
    <t>C91,C96,C97,C107,C108,C143,C144</t>
  </si>
  <si>
    <t>CAP CER 0.1UF 100V X7R 0603</t>
  </si>
  <si>
    <t>GRJ188R72A104KE11D</t>
  </si>
  <si>
    <t>C93</t>
  </si>
  <si>
    <t>2.2uF</t>
  </si>
  <si>
    <t>CAP CER 2.2UF 50V X5R 1206</t>
  </si>
  <si>
    <t>UMK316BJ225KD-T</t>
  </si>
  <si>
    <t>C94</t>
  </si>
  <si>
    <t>CAP ALUM 100UF 20% 35V SMD</t>
  </si>
  <si>
    <t>Nichicon</t>
  </si>
  <si>
    <t>UCL1V101MCL6GS</t>
  </si>
  <si>
    <t>SMD</t>
  </si>
  <si>
    <t>C95,C106</t>
  </si>
  <si>
    <t>CAP CER 10UF 35V X7R 1206</t>
  </si>
  <si>
    <t>C3216X7R1V106K160AC</t>
  </si>
  <si>
    <t>C101,C112</t>
  </si>
  <si>
    <t>CAP CER 2.2UF 10V X7R 0603</t>
  </si>
  <si>
    <t>C1608X7R1A225K080AC</t>
  </si>
  <si>
    <t>C102,C113,C139</t>
  </si>
  <si>
    <t>0.1UF</t>
  </si>
  <si>
    <t>C103,C114</t>
  </si>
  <si>
    <t>3.9uF</t>
  </si>
  <si>
    <t>CAP CER 3.9PF 100V NP0 0603</t>
  </si>
  <si>
    <t>06031A3R9CAT2A</t>
  </si>
  <si>
    <t>C104,C115</t>
  </si>
  <si>
    <t>1000pF</t>
  </si>
  <si>
    <t>CAP CER 1000PF 100V C0G 0603</t>
  </si>
  <si>
    <t>C1608C0G2A102J080AA</t>
  </si>
  <si>
    <t>C116,C117,C118</t>
  </si>
  <si>
    <t>C126</t>
  </si>
  <si>
    <t>3pF</t>
  </si>
  <si>
    <t>CAP CER 3PF 50V C0G/NP0 0402</t>
  </si>
  <si>
    <t>GJM1555C1H3R0WB01D</t>
  </si>
  <si>
    <t>C127</t>
  </si>
  <si>
    <t>0.8pF</t>
  </si>
  <si>
    <t>CAP CER 0.8PF 50V C0G/NP0 0402</t>
  </si>
  <si>
    <t>Johanson Technology Inc.</t>
  </si>
  <si>
    <t>500R07S0R8AV4T</t>
  </si>
  <si>
    <t>C128,C129</t>
  </si>
  <si>
    <t xml:space="preserve"> 3PF</t>
  </si>
  <si>
    <t>C140,C141</t>
  </si>
  <si>
    <t>2.2PF</t>
  </si>
  <si>
    <t>CAP CER 2.2PF 50V C0G/NP0 0402</t>
  </si>
  <si>
    <t>CL05C2R2BB5NNNC</t>
  </si>
  <si>
    <t>C134</t>
  </si>
  <si>
    <t>1uF</t>
  </si>
  <si>
    <t>1µF ±10% 25V Ceramic Capacitor X5R 0603 (1608 Metric)</t>
  </si>
  <si>
    <t>CL10A105KA8NNNC</t>
  </si>
  <si>
    <t>C62,C70,C74,C135,C136,C137,C138</t>
  </si>
  <si>
    <t>33pF</t>
  </si>
  <si>
    <t>33pF ±5% 50V Ceramic Capacitor C0G, NP0 0603 (1608 Metric)</t>
  </si>
  <si>
    <t>C0603C330J5GACTU</t>
  </si>
  <si>
    <t>D1,D2,D3,D34</t>
  </si>
  <si>
    <t>PESD2CAN</t>
  </si>
  <si>
    <t>TVS DIODE 24V 41V SOT23</t>
  </si>
  <si>
    <t>Nexperia USA Inc.</t>
  </si>
  <si>
    <t>PESD2CAN,215</t>
  </si>
  <si>
    <t>SOT23</t>
  </si>
  <si>
    <t>Diode</t>
  </si>
  <si>
    <t>D4</t>
  </si>
  <si>
    <t>PZU3.9B2A,115</t>
  </si>
  <si>
    <t>DIODE ZENER 3.9V 320MW SOD323</t>
  </si>
  <si>
    <t>SOD-323</t>
  </si>
  <si>
    <t>D5,D6,D8,D10,D11,D12,D13,D15,D17,D19,D20,D21,D23,D25,D31,D33</t>
  </si>
  <si>
    <t>BAS316,115</t>
  </si>
  <si>
    <t>DIODE GEN PURP 100V 250MA SOD323</t>
  </si>
  <si>
    <t>D7,D9,D14,D16,D18,D22,D24,D27,D32</t>
  </si>
  <si>
    <t>DIODE TS BI-DIR</t>
  </si>
  <si>
    <t>TVS DIODE 14V 23.2V DO214AC</t>
  </si>
  <si>
    <t>Vishay Semiconductor Diodes Division</t>
  </si>
  <si>
    <t>SMAJ14CA-E3/61</t>
  </si>
  <si>
    <t>DO-214AC, SMA</t>
  </si>
  <si>
    <t>D30</t>
  </si>
  <si>
    <t>LL4148-GS08</t>
  </si>
  <si>
    <t>DIODE GEN PURP 75V 300MA SOD80</t>
  </si>
  <si>
    <t>Vishay Semiconductor</t>
  </si>
  <si>
    <t>Mini melf</t>
  </si>
  <si>
    <t>D28,D29</t>
  </si>
  <si>
    <t>SMBJ28A-13-F</t>
  </si>
  <si>
    <t>TVS DIODE 28V 45.4V SMB</t>
  </si>
  <si>
    <t>Diodes Incorporated</t>
  </si>
  <si>
    <t>DO-214AA, SMB</t>
  </si>
  <si>
    <t>E1</t>
  </si>
  <si>
    <t xml:space="preserve">ACAG0301-24505500-T </t>
  </si>
  <si>
    <t>RF ANT 2.4GHZ/5.5GHZ CHIP SLD</t>
  </si>
  <si>
    <t>Abracon LLC</t>
  </si>
  <si>
    <t>ACAG0301-24505500-T</t>
  </si>
  <si>
    <t>Antenna</t>
  </si>
  <si>
    <t>E2</t>
  </si>
  <si>
    <t>ACAR3705-S698</t>
  </si>
  <si>
    <t>LTE anteena</t>
  </si>
  <si>
    <t>F1</t>
  </si>
  <si>
    <t>5A</t>
  </si>
  <si>
    <t>FUSE BRD MNT 5A 32VAC 75VDC 1206</t>
  </si>
  <si>
    <t>Littelfuse Inc.</t>
  </si>
  <si>
    <t>0458005.DR</t>
  </si>
  <si>
    <t>Fuse</t>
  </si>
  <si>
    <t>F2</t>
  </si>
  <si>
    <t>1A</t>
  </si>
  <si>
    <t>FUSE BRD MNT 1A 48VAC 75VDC 1206</t>
  </si>
  <si>
    <t>0458001.DR</t>
  </si>
  <si>
    <t>J1</t>
  </si>
  <si>
    <t>A829-1J1T-KM</t>
  </si>
  <si>
    <t>MAGJACK 1PORT 1GBT LED, Auto-Ethernet</t>
  </si>
  <si>
    <t>Bel Fuse Inc.</t>
  </si>
  <si>
    <t>Through Hole</t>
  </si>
  <si>
    <t>Connector</t>
  </si>
  <si>
    <t>J2</t>
  </si>
  <si>
    <t>MX50B19NQ1</t>
  </si>
  <si>
    <t>Automotive HDMI Type E Connector, 19 pos., Receptacle, Without Flange</t>
  </si>
  <si>
    <t>JAE Electronics</t>
  </si>
  <si>
    <t>PTH</t>
  </si>
  <si>
    <t>https://findcomponents.net/MX50B19NQ1</t>
  </si>
  <si>
    <t>J3</t>
  </si>
  <si>
    <t>USB Connectors USB 3.0 Type A Stacked R/A DIP</t>
  </si>
  <si>
    <t>Molex</t>
  </si>
  <si>
    <t>J4</t>
  </si>
  <si>
    <t>PJS008-2003-0</t>
  </si>
  <si>
    <t>Memory Card Connectors REVERSE MNT MICRO SD PUSH-PUSH TYPE</t>
  </si>
  <si>
    <t>Yamaichi Electronics</t>
  </si>
  <si>
    <t>J5</t>
  </si>
  <si>
    <t>HTSW-105-07-G-D</t>
  </si>
  <si>
    <t>CONN HEADER VERT 10POS 2.54MM</t>
  </si>
  <si>
    <t>Samtec Inc.</t>
  </si>
  <si>
    <t>10 PIN PTH</t>
  </si>
  <si>
    <t>J6</t>
  </si>
  <si>
    <t>FMS006 - 2610 - 0</t>
  </si>
  <si>
    <t>PUSH-PUSH SIM CARD CONNECTOR, SM</t>
  </si>
  <si>
    <t>J7</t>
  </si>
  <si>
    <t>MX23A26NF1</t>
  </si>
  <si>
    <t>Automotive Connectors 26P Std Pin Header</t>
  </si>
  <si>
    <t>J10</t>
  </si>
  <si>
    <t>FX23-20P-0.5SV15</t>
  </si>
  <si>
    <t>CONN HDR 20POS SMD GOLD</t>
  </si>
  <si>
    <t>Hirose Electric Co Ltd</t>
  </si>
  <si>
    <t>PTH/SMD</t>
  </si>
  <si>
    <t>J12</t>
  </si>
  <si>
    <t>RECE-20279-001E-01</t>
  </si>
  <si>
    <t>CONN UMC RCPT STR 50 OHM SMD</t>
  </si>
  <si>
    <t>Taoglas Limited</t>
  </si>
  <si>
    <t>RECE.20279.001E.01</t>
  </si>
  <si>
    <t>J13</t>
  </si>
  <si>
    <t>U.FL-R-SMT-1</t>
  </si>
  <si>
    <t>RF Connectors / Coaxial Connectors SMT ML REC AU 50 OHM W/ANTI SLDR WCKNG RL</t>
  </si>
  <si>
    <t>Hirose Connector</t>
  </si>
  <si>
    <t>U.FL-R-SMT-1(10)</t>
  </si>
  <si>
    <t>J14</t>
  </si>
  <si>
    <t>DNP</t>
  </si>
  <si>
    <t>J16</t>
  </si>
  <si>
    <t>SJ107054</t>
  </si>
  <si>
    <t xml:space="preserve"> CONN HEADER BRD EDGE 2POS 3.5MM</t>
  </si>
  <si>
    <t>MX44002NF1</t>
  </si>
  <si>
    <t>HEADER Connector</t>
  </si>
  <si>
    <t>L1,L18,L19</t>
  </si>
  <si>
    <t>33R@100MHz</t>
  </si>
  <si>
    <t>FERRITE BEAD 33 OHM 0603 1LN</t>
  </si>
  <si>
    <t>BLM18PG330SH1D</t>
  </si>
  <si>
    <t>Inductor</t>
  </si>
  <si>
    <t>L4,L5,L6</t>
  </si>
  <si>
    <t>PE-1812ACC510STS</t>
  </si>
  <si>
    <t>CMC 230MA 2LN 3.5 KOHM AEC-Q200</t>
  </si>
  <si>
    <t>Pulse Electronics Network</t>
  </si>
  <si>
    <t>Horizontal, 4 PC Pad</t>
  </si>
  <si>
    <t>L7,L9,L11,L12,L13,L14</t>
  </si>
  <si>
    <t>220R@100MHz</t>
  </si>
  <si>
    <t>FERRITE BEAD 220 OHM 0603 1LN</t>
  </si>
  <si>
    <t>BLM18EG221TN1D</t>
  </si>
  <si>
    <t>L8,L10</t>
  </si>
  <si>
    <t>MCZ1210DH900L2TA0G</t>
  </si>
  <si>
    <t>CMC 100MA 2LN 90 OHM SMD</t>
  </si>
  <si>
    <t>Surface Mount</t>
  </si>
  <si>
    <t>L15</t>
  </si>
  <si>
    <t>DLM0NSN900HY2D</t>
  </si>
  <si>
    <t>L16,L17</t>
  </si>
  <si>
    <t>1uH</t>
  </si>
  <si>
    <t>Fixed Inductors 1uH Shld 20% 18A 6.18mOhms AECQ2</t>
  </si>
  <si>
    <t>coilcraft</t>
  </si>
  <si>
    <t>XAL6030-102MEB</t>
  </si>
  <si>
    <t>L22 ,L23,L24</t>
  </si>
  <si>
    <t>6.8nH</t>
  </si>
  <si>
    <t>FIXED IND 6.8NH 1.45A 68 MOHM</t>
  </si>
  <si>
    <t>LQW15AN6N8G80D</t>
  </si>
  <si>
    <t>L23,L24</t>
  </si>
  <si>
    <t>L25,L26</t>
  </si>
  <si>
    <t xml:space="preserve"> 100 Ohms @ 100MHz</t>
  </si>
  <si>
    <t>FERRITE BEAD 100 OHM 0603 1LN</t>
  </si>
  <si>
    <t>BLM18EG101TN1D</t>
  </si>
  <si>
    <t>L27</t>
  </si>
  <si>
    <t>60 Ohms@100MHz</t>
  </si>
  <si>
    <t>FERRITE BEAD 60 OHM 1806 1LN</t>
  </si>
  <si>
    <t>BLM41PG600SH1L</t>
  </si>
  <si>
    <t>Q1,Q2</t>
  </si>
  <si>
    <t>DTC043ZEBTL</t>
  </si>
  <si>
    <t>TRANS PREBIAS NPN 50V EMT3F</t>
  </si>
  <si>
    <t>Rohm Semiconductor</t>
  </si>
  <si>
    <t>EMT3F</t>
  </si>
  <si>
    <t>Transistor</t>
  </si>
  <si>
    <t>Q3</t>
  </si>
  <si>
    <t>BSS64,215</t>
  </si>
  <si>
    <t>TRANS NPN 80V 100MA TO236AB</t>
  </si>
  <si>
    <t>SOT-23-3</t>
  </si>
  <si>
    <t xml:space="preserve">R1,R18,R19,R20,R21,R64,R65,R147,R149,R150,R151,R152,R153,R158,R159,R161,R164,R165
</t>
  </si>
  <si>
    <t>0R</t>
  </si>
  <si>
    <t>RES SMD 0 OHM JUMPER 1/10W 0402</t>
  </si>
  <si>
    <t>Panasonic Electronic Components</t>
  </si>
  <si>
    <t>ERJ-2GE0R00X</t>
  </si>
  <si>
    <t>Resistor</t>
  </si>
  <si>
    <t>R153,R158,R159</t>
  </si>
  <si>
    <t>R2,R3,R4,R5,R10,R11,R169,R170</t>
  </si>
  <si>
    <t>60R</t>
  </si>
  <si>
    <t>RES SMD 60.4 OHM 1% 1/10W 0603</t>
  </si>
  <si>
    <t>Yageo</t>
  </si>
  <si>
    <t>RC0603FR-0760R4L</t>
  </si>
  <si>
    <t>R6,R8,R9,R12,R23,R24,R41,R42,R43,R44,R135,R162,R163</t>
  </si>
  <si>
    <t>4.7K</t>
  </si>
  <si>
    <t>RES SMD 4.7K OHM 0.1% 1/10W 0603</t>
  </si>
  <si>
    <t>ERA-3AEB472V</t>
  </si>
  <si>
    <t>R8,R12</t>
  </si>
  <si>
    <t>R84,R85,R88,R89,R90,R91,R93,R94,R95,R96,R97,R98,R99,R100,R101,R102,R103,R104,R105,R124,R125,R171</t>
  </si>
  <si>
    <t>22R</t>
  </si>
  <si>
    <t>RES ARRAY 4 RES 22 OHM 1206</t>
  </si>
  <si>
    <t>YC164-JR-0722RL</t>
  </si>
  <si>
    <t>R14,R16,R15</t>
  </si>
  <si>
    <t>150R</t>
  </si>
  <si>
    <t>CRGCQ 0402 150R 1%</t>
  </si>
  <si>
    <t>TE Connectivity Passive Product</t>
  </si>
  <si>
    <t>CRGCQ0402F150R</t>
  </si>
  <si>
    <t>R15</t>
  </si>
  <si>
    <t>R17,R22,R25</t>
  </si>
  <si>
    <t>1M</t>
  </si>
  <si>
    <t>CRGCQ 0402 1M0 5%</t>
  </si>
  <si>
    <t>CRGCQ0402J1M0</t>
  </si>
  <si>
    <t>R26</t>
  </si>
  <si>
    <t>33K</t>
  </si>
  <si>
    <t>CRGCQ 0402 33K 5%</t>
  </si>
  <si>
    <t>CRGCQ0402J33K</t>
  </si>
  <si>
    <t>R27,R28,R29,R30</t>
  </si>
  <si>
    <t>68K</t>
  </si>
  <si>
    <t>RES SMD 68K OHM 5% 1/16W 0402</t>
  </si>
  <si>
    <t>RC0402JR-0768KL</t>
  </si>
  <si>
    <t>R31,R33,R60,R61,R62,R63</t>
  </si>
  <si>
    <t>100K</t>
  </si>
  <si>
    <t>RES SMD 100K OHM 5% 1/16W 0402</t>
  </si>
  <si>
    <t>RC0402JR-07100KL</t>
  </si>
  <si>
    <t>R34</t>
  </si>
  <si>
    <t>2.7K</t>
  </si>
  <si>
    <t>RES SMD 2.7K OHM 1% 1/10W 0603</t>
  </si>
  <si>
    <t>ERA-3AEB272V</t>
  </si>
  <si>
    <t>R35</t>
  </si>
  <si>
    <t>1.3K</t>
  </si>
  <si>
    <t>RES SMD 1.3K OHM 0.1% 1/10W 0603</t>
  </si>
  <si>
    <t>RT0603BRD071K3L</t>
  </si>
  <si>
    <t>R166,R126</t>
  </si>
  <si>
    <t>10K</t>
  </si>
  <si>
    <t>RES SMD 10K OHM 1% 1/10W 0603</t>
  </si>
  <si>
    <t>Vishay Dale</t>
  </si>
  <si>
    <t>RCA060310K0FKEA</t>
  </si>
  <si>
    <t>R127</t>
  </si>
  <si>
    <t>R45,R46,R49,R50,R51,R55,R167</t>
  </si>
  <si>
    <t>11K</t>
  </si>
  <si>
    <t>RES SMD 11K OHM 0.5% 1/10W 0603</t>
  </si>
  <si>
    <t>RT0603DRD0711KL</t>
  </si>
  <si>
    <t>R47,R48,R52,R53,R54,R57,R168</t>
  </si>
  <si>
    <t>3.3K</t>
  </si>
  <si>
    <t>RES 3.3K OHM 0.5% 1/10W 0603 SMD</t>
  </si>
  <si>
    <t>ERJ-U3RD3301V</t>
  </si>
  <si>
    <t>R56,R58</t>
  </si>
  <si>
    <t>22K</t>
  </si>
  <si>
    <t>RES SMD 22K OHM 0.5% 1/10W 0603</t>
  </si>
  <si>
    <t>RT0603DRD0722KL</t>
  </si>
  <si>
    <t>R59</t>
  </si>
  <si>
    <t>2.2K</t>
  </si>
  <si>
    <t>ERA-3AED222V</t>
  </si>
  <si>
    <t>R68,R70,R76,R78,R155,R156</t>
  </si>
  <si>
    <t>RES SMD 0 OHM JUMPER 1/10W 0603</t>
  </si>
  <si>
    <t>ERJ-3GEY0R00V</t>
  </si>
  <si>
    <t>R156</t>
  </si>
  <si>
    <t>R72,R80,R69,R71,R77,R79</t>
  </si>
  <si>
    <t>RES SMD 100K OHM 1% 1/10W 0603</t>
  </si>
  <si>
    <t>RC0603FR-07100KL</t>
  </si>
  <si>
    <t>R69,R71,R77,R79</t>
  </si>
  <si>
    <t>R37,R38,R39,R40,R73,R81</t>
  </si>
  <si>
    <t>R38,R40,R73,R81</t>
  </si>
  <si>
    <t>R74,R83</t>
  </si>
  <si>
    <t>39K</t>
  </si>
  <si>
    <t>RES SMD 39K OHM 1% 1/10W 0603</t>
  </si>
  <si>
    <t>ERJ-3EKF3902V</t>
  </si>
  <si>
    <t>R75,R82</t>
  </si>
  <si>
    <t>12K</t>
  </si>
  <si>
    <t>RES SMD 12K OHM 1% 1/10W 0603</t>
  </si>
  <si>
    <t>ERJ-3EKF1202V</t>
  </si>
  <si>
    <t>R106,R107,R116,R117,R118,R119,R120,R121,R122,R123,R131,R132,R133,R134</t>
  </si>
  <si>
    <t>CRGCQ 0402 22R 5%</t>
  </si>
  <si>
    <t>CRGCQ0402J22R</t>
  </si>
  <si>
    <t>R110,R111,R112,R113,R114,R115,R128,R129</t>
  </si>
  <si>
    <t>RES SMD 0 OHM JUMPER 1/16W 0402</t>
  </si>
  <si>
    <t>RC0402FR-070RL</t>
  </si>
  <si>
    <t>R111,R112,R114,R115,R128,R129</t>
  </si>
  <si>
    <t>R130,R160</t>
  </si>
  <si>
    <t>8.2K</t>
  </si>
  <si>
    <t>RES SMD 8.2K OHM 5% 1/10W 0603</t>
  </si>
  <si>
    <t>RC0603JR-078K2L</t>
  </si>
  <si>
    <t>R137,R138,R139,R140,R141,R142,R144,R145,R146,R148,R157</t>
  </si>
  <si>
    <t>RES SMD 0 OHM JUMPER 1/4W 1206</t>
  </si>
  <si>
    <t>RC1206JR-070RL</t>
  </si>
  <si>
    <t>U1</t>
  </si>
  <si>
    <t>Conn_Aplis_iMX6</t>
  </si>
  <si>
    <t>CONN MXM FMALE 314POS 0.020 GOLD</t>
  </si>
  <si>
    <t>MM70-314-310B1-1-R300</t>
  </si>
  <si>
    <t>SMD SURFACE MOUNT</t>
  </si>
  <si>
    <t>U2</t>
  </si>
  <si>
    <t>NCP511SN33T1G</t>
  </si>
  <si>
    <t>IC REG LINEAR 3.3V 150MA 5TSOP</t>
  </si>
  <si>
    <t>ON Semiconductor</t>
  </si>
  <si>
    <t>TSOT-23-5</t>
  </si>
  <si>
    <t>IC</t>
  </si>
  <si>
    <t>U3</t>
  </si>
  <si>
    <t>MCP25625T-E/SS</t>
  </si>
  <si>
    <t>IC TRANSCEIVER 1/1 28SSOP</t>
  </si>
  <si>
    <t>Microchip Technology</t>
  </si>
  <si>
    <t>28-SSOP</t>
  </si>
  <si>
    <t>U4</t>
  </si>
  <si>
    <t>ADM3053BRWZ</t>
  </si>
  <si>
    <t>DGT ISOL 2500VRMS 2CH CAN 20SOIC</t>
  </si>
  <si>
    <t>Analog Devices Inc.</t>
  </si>
  <si>
    <t>ADM3053BRWZ-REEL7</t>
  </si>
  <si>
    <t>20-SOIC</t>
  </si>
  <si>
    <t>U5</t>
  </si>
  <si>
    <t>SN65HVD234QDRQ1</t>
  </si>
  <si>
    <t>3.3-V Automotive CAN Bus Transceivers</t>
  </si>
  <si>
    <t>Texas Instruments</t>
  </si>
  <si>
    <t>8-SOIC</t>
  </si>
  <si>
    <t>U6</t>
  </si>
  <si>
    <t>U7,U8,U9,U10</t>
  </si>
  <si>
    <t>TPD4E02B04QDQARQ1</t>
  </si>
  <si>
    <t>TVS DIODE 3.6V 8.8V 10USON</t>
  </si>
  <si>
    <t>10-UFDFN</t>
  </si>
  <si>
    <t>U11</t>
  </si>
  <si>
    <t>TPS2066TDGNRQ1</t>
  </si>
  <si>
    <t>IC PWR SWITCH N-CHAN 1:2 8MSOP</t>
  </si>
  <si>
    <t>8-MSOP-PowerPad</t>
  </si>
  <si>
    <t>U12</t>
  </si>
  <si>
    <t>TPD8F003DQDR</t>
  </si>
  <si>
    <t>FILTER RC(PI) 100 OHM/8.5PF SMD</t>
  </si>
  <si>
    <t xml:space="preserve">16-WFDFN Exposed Pad </t>
  </si>
  <si>
    <t>U13</t>
  </si>
  <si>
    <t>LD29300P2MTR</t>
  </si>
  <si>
    <t>IC REG LINEAR POS ADJ 3A P2PAK-4</t>
  </si>
  <si>
    <t>STMicroelectronics</t>
  </si>
  <si>
    <t>P2PAK-4</t>
  </si>
  <si>
    <t>U14</t>
  </si>
  <si>
    <t>Telit_LE910Cx_LTE</t>
  </si>
  <si>
    <t>LTE module telit</t>
  </si>
  <si>
    <t>Telit</t>
  </si>
  <si>
    <t>LE910C1-NF</t>
  </si>
  <si>
    <t>Vendor response pending</t>
  </si>
  <si>
    <t>U16</t>
  </si>
  <si>
    <t>TPS2041BQDBVRQ1</t>
  </si>
  <si>
    <t>IC PWR SWITCH N-CHAN 1:1 SOT23-5</t>
  </si>
  <si>
    <t>SOT23-5</t>
  </si>
  <si>
    <t>U17</t>
  </si>
  <si>
    <t>SN74LVC2G32QDCURQ1</t>
  </si>
  <si>
    <t>IC GATE OR 2CH 2-INP US8</t>
  </si>
  <si>
    <t>8-VFSOP</t>
  </si>
  <si>
    <t>U18,U19</t>
  </si>
  <si>
    <t>DMP2022LSS-13</t>
  </si>
  <si>
    <t>MOSFET P-CH 20V 10A 8SOIC</t>
  </si>
  <si>
    <t>U20</t>
  </si>
  <si>
    <t>SI-1024-X</t>
  </si>
  <si>
    <t>MOSFET 2N-CH 20V 0.485A SC89-6</t>
  </si>
  <si>
    <t>Vishay Siliconix</t>
  </si>
  <si>
    <t>SI1024X-T1-GE3</t>
  </si>
  <si>
    <t>SC-89-6</t>
  </si>
  <si>
    <t>U21</t>
  </si>
  <si>
    <t>SQJ422EP-T1_GE3</t>
  </si>
  <si>
    <t>MOSFET N-CH 40V 75A PPAK SO-8</t>
  </si>
  <si>
    <t>PowerPAK® SO-8</t>
  </si>
  <si>
    <t>U22</t>
  </si>
  <si>
    <t>LM74610QDGKRQ1</t>
  </si>
  <si>
    <t>IC SMART DIODE CTLR 8VSSOP</t>
  </si>
  <si>
    <t>8-TSSOP,</t>
  </si>
  <si>
    <t>U23</t>
  </si>
  <si>
    <t>TPD12S016PWR</t>
  </si>
  <si>
    <t>Texas Instruments,TPD12S016PWR,IC,HDMI TPD12S016PWR, HDMI Interface 12-channel HDMI 4.5</t>
  </si>
  <si>
    <t>24-TSSOP</t>
  </si>
  <si>
    <t>U24</t>
  </si>
  <si>
    <t>MAX20006AFOB/VY+</t>
  </si>
  <si>
    <t>Switching Voltage Regulators 36V, 220kHz to 2.2MHz, 4A/6A/8A Fully integrated step down converter</t>
  </si>
  <si>
    <t>Maxim Integrated</t>
  </si>
  <si>
    <t>17-PowerWFQFN</t>
  </si>
  <si>
    <t>U25</t>
  </si>
  <si>
    <t>MAX20008AFOA/VY+</t>
  </si>
  <si>
    <t>U26</t>
  </si>
  <si>
    <t>SN65C3243DBR</t>
  </si>
  <si>
    <t>Texas Instruments SN65C3243DBR, Line Transceiver, RS-232 3-TX 5-RX, 3  3.6 V, 4.5  5.5 V, 28-Pin SSOP</t>
  </si>
  <si>
    <t>U27</t>
  </si>
  <si>
    <t>RCLAMP3304P.TCT</t>
  </si>
  <si>
    <t>TVS DIODE 3.3V 16V SLP1616P6</t>
  </si>
  <si>
    <t>Semtech Corporation</t>
  </si>
  <si>
    <t>6-UFDFN Exposed Pad</t>
  </si>
  <si>
    <t>Y1</t>
  </si>
  <si>
    <t>20Mhz</t>
  </si>
  <si>
    <t>CRYSTAL 20.000MHZ 15 PF SMD</t>
  </si>
  <si>
    <t>Suntsu Electronics, Inc.</t>
  </si>
  <si>
    <t>SXT32415AA48-20.000M</t>
  </si>
  <si>
    <t>4-SMD</t>
  </si>
  <si>
    <t>M1,M2,M3</t>
  </si>
  <si>
    <t>KFE-M3-3ET</t>
  </si>
  <si>
    <t>Standoffs &amp; Spacers STANDOFF, BROACHING, STEEL</t>
  </si>
  <si>
    <t>PEM</t>
  </si>
  <si>
    <t>Mech</t>
  </si>
  <si>
    <t>Mechanical</t>
  </si>
  <si>
    <t>M4,M5</t>
  </si>
  <si>
    <t>KFE-M3-8ET</t>
  </si>
  <si>
    <t>L28</t>
  </si>
  <si>
    <t>600OHM</t>
  </si>
  <si>
    <t>Ferrite Bead, 600 ohm @ 100 MHz, 0.5 A, 0402</t>
  </si>
  <si>
    <t>MURATA</t>
  </si>
  <si>
    <t>BLM15AX601SN1D</t>
  </si>
  <si>
    <t>Total Unit Price</t>
  </si>
  <si>
    <t>Total 1K Qty Price</t>
  </si>
  <si>
    <t>Total 100K Qty Price</t>
  </si>
  <si>
    <t>CHANGES:</t>
  </si>
  <si>
    <t>DNP U6 and DNP J14</t>
  </si>
  <si>
    <t xml:space="preserve">Designator </t>
  </si>
  <si>
    <t xml:space="preserve">Value </t>
  </si>
  <si>
    <t>Description</t>
  </si>
  <si>
    <t>Manufacturer</t>
  </si>
  <si>
    <t>Manufacturer Part Number</t>
  </si>
  <si>
    <t>Package</t>
  </si>
  <si>
    <t>Suggested Part Number</t>
  </si>
  <si>
    <t>TPS79933QDDCRQ1</t>
  </si>
  <si>
    <t>Item Type</t>
  </si>
  <si>
    <t>MCP251863T-H/SSVAO</t>
  </si>
  <si>
    <t>ECS-400-8-36Q-CWY-TR</t>
  </si>
  <si>
    <t>Crystal</t>
  </si>
  <si>
    <t>GRT188R61C106KE13D</t>
  </si>
  <si>
    <t>NRND</t>
  </si>
  <si>
    <t>C1210C226K8RACAUTO</t>
  </si>
  <si>
    <t>Grade</t>
  </si>
  <si>
    <t>C1206C102KGRACAUTO</t>
  </si>
  <si>
    <t>CGA9N3X7R1E476M230KB</t>
  </si>
  <si>
    <t>C3225X7T1A107M250AC</t>
  </si>
  <si>
    <t>C1206C106K4RACAUTO</t>
  </si>
  <si>
    <t>CGA3E1X7R1C334K080AC</t>
  </si>
  <si>
    <t>Already using one above</t>
  </si>
  <si>
    <t>C1206C475M5RACAUTO</t>
  </si>
  <si>
    <t>CGA3E2X7R1H104K080AA</t>
  </si>
  <si>
    <t>C1206C225K5RACAUTO7210</t>
  </si>
  <si>
    <t>EEE-FK1V101P</t>
  </si>
  <si>
    <t>C1206C395K3PAC7800</t>
  </si>
  <si>
    <t>Wrong value according to schematics</t>
  </si>
  <si>
    <t>CBR04C229B5GACAUTO</t>
  </si>
  <si>
    <t>lxora default assembly part</t>
  </si>
  <si>
    <t>Regular Part NRND, Automative may also</t>
  </si>
  <si>
    <t>Not Working</t>
  </si>
  <si>
    <t>Obsolete</t>
  </si>
  <si>
    <t>EXC-24CG900U</t>
  </si>
  <si>
    <t>XAL6030-102MEC</t>
  </si>
  <si>
    <t>Manufacturer updated part number</t>
  </si>
  <si>
    <t>MM70-314B1-2-R300</t>
  </si>
  <si>
    <t>Will not be used</t>
  </si>
  <si>
    <t>91302-32-067R2B (M2 Connector)</t>
  </si>
  <si>
    <t>DT1240-04LP-7</t>
  </si>
  <si>
    <t>Reference schematic used</t>
  </si>
  <si>
    <t>DESD2CAN2SOQ-7</t>
  </si>
  <si>
    <t>ADM3057EBRWZ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</si>
</sst>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_-[$$-409]* #,##0.0_ ;_-[$$-409]* \-#,##0.0\ ;_-[$$-409]* \-??_ ;_-@_ "/>
    <numFmt numFmtId="166" formatCode="_-[$$-409]* #,##0.00_ ;_-[$$-409]* \-#,##0.00\ ;_-[$$-409]* \-??_ ;_-@_ "/>
    <numFmt numFmtId="167" formatCode="yyyy\-mm\-dd"/>
  </numFmts>
  <fonts count="6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FF6D6D"/>
        <bgColor rgb="FFFF6600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FF6600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0" borderId="0" xfId="1" applyBorder="1" applyProtection="1"/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6" fontId="4" fillId="2" borderId="1" xfId="0" applyNumberFormat="1" applyFont="1" applyFill="1" applyBorder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0R@100MHz" TargetMode="External"/><Relationship Id="rId2" Type="http://schemas.openxmlformats.org/officeDocument/2006/relationships/hyperlink" Target="mailto:33R@100MHz" TargetMode="External"/><Relationship Id="rId1" Type="http://schemas.openxmlformats.org/officeDocument/2006/relationships/hyperlink" Target="https://findcomponents.net/MX50B19NQ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"/>
  <sheetViews>
    <sheetView tabSelected="1" topLeftCell="A77" zoomScale="85" zoomScaleNormal="85" workbookViewId="0">
      <selection activeCell="H95" sqref="H95"/>
    </sheetView>
  </sheetViews>
  <sheetFormatPr defaultColWidth="8.7109375" defaultRowHeight="15" x14ac:dyDescent="0.25"/>
  <cols>
    <col min="1" max="1" width="19.85546875" style="1" customWidth="1"/>
    <col min="2" max="2" width="12.85546875" style="1" customWidth="1"/>
    <col min="3" max="3" width="56" style="2" customWidth="1"/>
    <col min="4" max="4" width="32.42578125" style="3" customWidth="1"/>
    <col min="5" max="5" width="36.7109375" style="2" customWidth="1"/>
    <col min="6" max="6" width="34.140625" style="1" customWidth="1"/>
    <col min="7" max="7" width="36.85546875" style="1" customWidth="1"/>
    <col min="8" max="8" width="36.85546875" style="45" customWidth="1"/>
    <col min="9" max="9" width="39.28515625" style="45" bestFit="1" customWidth="1"/>
    <col min="10" max="13" width="24.42578125" style="1" customWidth="1"/>
    <col min="14" max="14" width="15.7109375" style="2" customWidth="1"/>
    <col min="15" max="15" width="14.85546875" style="4" customWidth="1"/>
    <col min="16" max="16" width="17.42578125" style="4" customWidth="1"/>
    <col min="17" max="17" width="16.85546875" style="4" customWidth="1"/>
    <col min="18" max="18" width="16.42578125" style="4" customWidth="1"/>
    <col min="19" max="19" width="17" style="4" customWidth="1"/>
    <col min="20" max="20" width="18.140625" style="4" customWidth="1"/>
  </cols>
  <sheetData>
    <row r="1" spans="1:21" x14ac:dyDescent="0.25">
      <c r="A1" s="5">
        <v>1</v>
      </c>
      <c r="B1" s="5">
        <v>2</v>
      </c>
      <c r="C1" s="6" t="s">
        <v>0</v>
      </c>
      <c r="D1" s="7" t="s">
        <v>1</v>
      </c>
      <c r="E1" s="8" t="s">
        <v>2</v>
      </c>
      <c r="F1" s="5" t="s">
        <v>3</v>
      </c>
      <c r="G1" s="5" t="s">
        <v>4</v>
      </c>
      <c r="H1" s="42"/>
      <c r="I1" s="42"/>
      <c r="J1" s="5">
        <v>805</v>
      </c>
      <c r="K1" s="9" t="s">
        <v>5</v>
      </c>
      <c r="L1" s="9" t="s">
        <v>6</v>
      </c>
      <c r="M1" s="9">
        <v>13</v>
      </c>
      <c r="N1" s="10"/>
      <c r="O1" s="11">
        <v>0.31</v>
      </c>
      <c r="P1" s="11">
        <f t="shared" ref="P1:P32" si="0">O1*B1</f>
        <v>0.62</v>
      </c>
      <c r="Q1" s="11">
        <v>0.13500000000000001</v>
      </c>
      <c r="R1" s="11">
        <f t="shared" ref="R1:R32" si="1">Q1*B1</f>
        <v>0.27</v>
      </c>
      <c r="S1" s="11">
        <f t="shared" ref="S1:S32" si="2">Q1*0.4</f>
        <v>5.4000000000000006E-2</v>
      </c>
      <c r="T1" s="11">
        <f t="shared" ref="T1:T32" si="3">S1*B1</f>
        <v>0.10800000000000001</v>
      </c>
      <c r="U1" t="e">
        <v>#VALUE!</v>
      </c>
    </row>
    <row r="2" spans="1:21" x14ac:dyDescent="0.25">
      <c r="A2" s="5">
        <v>2</v>
      </c>
      <c r="B2" s="5">
        <v>5</v>
      </c>
      <c r="C2" s="6" t="s">
        <v>7</v>
      </c>
      <c r="D2" s="7" t="s">
        <v>8</v>
      </c>
      <c r="E2" s="8" t="s">
        <v>9</v>
      </c>
      <c r="F2" s="5" t="s">
        <v>3</v>
      </c>
      <c r="G2" s="5" t="s">
        <v>10</v>
      </c>
      <c r="H2" s="42"/>
      <c r="I2" s="42"/>
      <c r="J2" s="5">
        <v>603</v>
      </c>
      <c r="K2" s="9" t="s">
        <v>5</v>
      </c>
      <c r="L2" s="12" t="s">
        <v>6</v>
      </c>
      <c r="M2" s="12" t="s">
        <v>11</v>
      </c>
      <c r="N2" s="13"/>
      <c r="O2" s="11">
        <v>0.28999999999999998</v>
      </c>
      <c r="P2" s="11">
        <f t="shared" si="0"/>
        <v>1.45</v>
      </c>
      <c r="Q2" s="11">
        <v>7.3999999999999996E-2</v>
      </c>
      <c r="R2" s="11">
        <f t="shared" si="1"/>
        <v>0.37</v>
      </c>
      <c r="S2" s="11">
        <f t="shared" si="2"/>
        <v>2.9600000000000001E-2</v>
      </c>
      <c r="T2" s="11">
        <f t="shared" si="3"/>
        <v>0.14800000000000002</v>
      </c>
    </row>
    <row r="3" spans="1:21" ht="60" x14ac:dyDescent="0.25">
      <c r="A3" s="5">
        <v>3</v>
      </c>
      <c r="B3" s="5">
        <v>43</v>
      </c>
      <c r="C3" s="6" t="s">
        <v>12</v>
      </c>
      <c r="D3" s="7" t="s">
        <v>13</v>
      </c>
      <c r="E3" s="8" t="s">
        <v>14</v>
      </c>
      <c r="F3" s="5" t="s">
        <v>15</v>
      </c>
      <c r="G3" s="5" t="s">
        <v>16</v>
      </c>
      <c r="H3" s="42"/>
      <c r="I3" s="42"/>
      <c r="J3" s="5">
        <v>402</v>
      </c>
      <c r="K3" s="9" t="s">
        <v>5</v>
      </c>
      <c r="L3" s="12" t="s">
        <v>6</v>
      </c>
      <c r="M3" s="12">
        <v>19</v>
      </c>
      <c r="N3" s="13"/>
      <c r="O3" s="11">
        <v>0.12</v>
      </c>
      <c r="P3" s="11">
        <f t="shared" si="0"/>
        <v>5.16</v>
      </c>
      <c r="Q3" s="11">
        <v>0.22</v>
      </c>
      <c r="R3" s="11">
        <f t="shared" si="1"/>
        <v>9.4600000000000009</v>
      </c>
      <c r="S3" s="11">
        <f t="shared" si="2"/>
        <v>8.8000000000000009E-2</v>
      </c>
      <c r="T3" s="11">
        <f t="shared" si="3"/>
        <v>3.7840000000000003</v>
      </c>
    </row>
    <row r="4" spans="1:21" x14ac:dyDescent="0.25">
      <c r="A4" s="5">
        <v>4</v>
      </c>
      <c r="B4" s="5">
        <v>2</v>
      </c>
      <c r="C4" s="6" t="s">
        <v>17</v>
      </c>
      <c r="D4" s="7" t="s">
        <v>18</v>
      </c>
      <c r="E4" s="8" t="s">
        <v>19</v>
      </c>
      <c r="F4" s="5" t="s">
        <v>20</v>
      </c>
      <c r="G4" s="5" t="s">
        <v>21</v>
      </c>
      <c r="H4" s="42"/>
      <c r="I4" s="42"/>
      <c r="J4" s="5">
        <v>603</v>
      </c>
      <c r="K4" s="9" t="s">
        <v>5</v>
      </c>
      <c r="L4" s="12" t="s">
        <v>22</v>
      </c>
      <c r="M4" s="12">
        <v>28</v>
      </c>
      <c r="N4" s="13"/>
      <c r="O4" s="11">
        <v>0.21</v>
      </c>
      <c r="P4" s="11">
        <f t="shared" si="0"/>
        <v>0.42</v>
      </c>
      <c r="Q4" s="11">
        <v>0.04</v>
      </c>
      <c r="R4" s="11">
        <f t="shared" si="1"/>
        <v>0.08</v>
      </c>
      <c r="S4" s="11">
        <f t="shared" si="2"/>
        <v>1.6E-2</v>
      </c>
      <c r="T4" s="11">
        <f t="shared" si="3"/>
        <v>3.2000000000000001E-2</v>
      </c>
    </row>
    <row r="5" spans="1:21" x14ac:dyDescent="0.25">
      <c r="A5" s="5">
        <v>5</v>
      </c>
      <c r="B5" s="5">
        <v>2</v>
      </c>
      <c r="C5" s="6" t="s">
        <v>23</v>
      </c>
      <c r="D5" s="7" t="s">
        <v>24</v>
      </c>
      <c r="E5" s="8" t="s">
        <v>25</v>
      </c>
      <c r="F5" s="5" t="s">
        <v>26</v>
      </c>
      <c r="G5" s="5" t="s">
        <v>27</v>
      </c>
      <c r="H5" s="42"/>
      <c r="I5" s="42"/>
      <c r="J5" s="5">
        <v>805</v>
      </c>
      <c r="K5" s="9" t="s">
        <v>5</v>
      </c>
      <c r="L5" s="12" t="s">
        <v>6</v>
      </c>
      <c r="M5" s="12">
        <v>17</v>
      </c>
      <c r="N5" s="13"/>
      <c r="O5" s="11">
        <v>0.59</v>
      </c>
      <c r="P5" s="11">
        <f t="shared" si="0"/>
        <v>1.18</v>
      </c>
      <c r="Q5" s="11">
        <v>0.17</v>
      </c>
      <c r="R5" s="11">
        <f t="shared" si="1"/>
        <v>0.34</v>
      </c>
      <c r="S5" s="11">
        <f t="shared" si="2"/>
        <v>6.8000000000000005E-2</v>
      </c>
      <c r="T5" s="11">
        <f t="shared" si="3"/>
        <v>0.13600000000000001</v>
      </c>
    </row>
    <row r="6" spans="1:21" x14ac:dyDescent="0.25">
      <c r="A6" s="5">
        <v>6</v>
      </c>
      <c r="B6" s="5">
        <v>4</v>
      </c>
      <c r="C6" s="6" t="s">
        <v>28</v>
      </c>
      <c r="D6" s="7" t="s">
        <v>18</v>
      </c>
      <c r="E6" s="8" t="s">
        <v>29</v>
      </c>
      <c r="F6" s="5" t="s">
        <v>30</v>
      </c>
      <c r="G6" s="5" t="s">
        <v>31</v>
      </c>
      <c r="H6" s="42" t="s">
        <v>511</v>
      </c>
      <c r="I6" s="42" t="s">
        <v>512</v>
      </c>
      <c r="J6" s="5">
        <v>603</v>
      </c>
      <c r="K6" s="9" t="s">
        <v>5</v>
      </c>
      <c r="L6" s="12" t="s">
        <v>6</v>
      </c>
      <c r="M6" s="12">
        <v>16</v>
      </c>
      <c r="N6" s="13"/>
      <c r="O6" s="11">
        <v>0.34</v>
      </c>
      <c r="P6" s="11">
        <f t="shared" si="0"/>
        <v>1.36</v>
      </c>
      <c r="Q6" s="11">
        <v>8.8999999999999996E-2</v>
      </c>
      <c r="R6" s="11">
        <f t="shared" si="1"/>
        <v>0.35599999999999998</v>
      </c>
      <c r="S6" s="11">
        <f t="shared" si="2"/>
        <v>3.56E-2</v>
      </c>
      <c r="T6" s="11">
        <f t="shared" si="3"/>
        <v>0.1424</v>
      </c>
    </row>
    <row r="7" spans="1:21" x14ac:dyDescent="0.25">
      <c r="A7" s="5">
        <v>7</v>
      </c>
      <c r="B7" s="5">
        <v>4</v>
      </c>
      <c r="C7" s="6" t="s">
        <v>32</v>
      </c>
      <c r="D7" s="7" t="s">
        <v>33</v>
      </c>
      <c r="E7" s="8" t="s">
        <v>34</v>
      </c>
      <c r="F7" s="5" t="s">
        <v>15</v>
      </c>
      <c r="G7" s="5" t="s">
        <v>35</v>
      </c>
      <c r="H7" s="42"/>
      <c r="I7" s="42"/>
      <c r="J7" s="5">
        <v>402</v>
      </c>
      <c r="K7" s="9" t="s">
        <v>5</v>
      </c>
      <c r="L7" s="12" t="s">
        <v>6</v>
      </c>
      <c r="M7" s="12">
        <v>24</v>
      </c>
      <c r="N7" s="13"/>
      <c r="O7" s="11">
        <v>0.1</v>
      </c>
      <c r="P7" s="11">
        <f t="shared" si="0"/>
        <v>0.4</v>
      </c>
      <c r="Q7" s="11">
        <v>8.0000000000000002E-3</v>
      </c>
      <c r="R7" s="11">
        <f t="shared" si="1"/>
        <v>3.2000000000000001E-2</v>
      </c>
      <c r="S7" s="11">
        <f t="shared" si="2"/>
        <v>3.2000000000000002E-3</v>
      </c>
      <c r="T7" s="11">
        <f t="shared" si="3"/>
        <v>1.2800000000000001E-2</v>
      </c>
    </row>
    <row r="8" spans="1:21" x14ac:dyDescent="0.25">
      <c r="A8" s="5">
        <v>8</v>
      </c>
      <c r="B8" s="5">
        <v>1</v>
      </c>
      <c r="C8" s="6" t="s">
        <v>36</v>
      </c>
      <c r="D8" s="7" t="s">
        <v>1</v>
      </c>
      <c r="E8" s="8" t="s">
        <v>2</v>
      </c>
      <c r="F8" s="5" t="s">
        <v>20</v>
      </c>
      <c r="G8" s="5" t="s">
        <v>37</v>
      </c>
      <c r="H8" s="42" t="s">
        <v>513</v>
      </c>
      <c r="I8" s="42" t="s">
        <v>514</v>
      </c>
      <c r="J8" s="5">
        <v>805</v>
      </c>
      <c r="K8" s="9" t="s">
        <v>5</v>
      </c>
      <c r="L8" s="12" t="s">
        <v>6</v>
      </c>
      <c r="M8" s="12">
        <v>28</v>
      </c>
      <c r="N8" s="13"/>
      <c r="O8" s="11">
        <v>0.1</v>
      </c>
      <c r="P8" s="11">
        <f t="shared" si="0"/>
        <v>0.1</v>
      </c>
      <c r="Q8" s="11">
        <v>1.4999999999999999E-2</v>
      </c>
      <c r="R8" s="11">
        <f t="shared" si="1"/>
        <v>1.4999999999999999E-2</v>
      </c>
      <c r="S8" s="11">
        <f t="shared" si="2"/>
        <v>6.0000000000000001E-3</v>
      </c>
      <c r="T8" s="11">
        <f t="shared" si="3"/>
        <v>6.0000000000000001E-3</v>
      </c>
    </row>
    <row r="9" spans="1:21" x14ac:dyDescent="0.25">
      <c r="A9" s="5">
        <v>9</v>
      </c>
      <c r="B9" s="5">
        <v>3</v>
      </c>
      <c r="C9" s="6" t="s">
        <v>38</v>
      </c>
      <c r="D9" s="7" t="s">
        <v>39</v>
      </c>
      <c r="E9" s="8" t="s">
        <v>40</v>
      </c>
      <c r="F9" s="5" t="s">
        <v>20</v>
      </c>
      <c r="G9" s="5" t="s">
        <v>41</v>
      </c>
      <c r="H9" s="42" t="s">
        <v>515</v>
      </c>
      <c r="I9" s="42" t="s">
        <v>514</v>
      </c>
      <c r="J9" s="5">
        <v>1206</v>
      </c>
      <c r="K9" s="9" t="s">
        <v>5</v>
      </c>
      <c r="L9" s="12" t="s">
        <v>6</v>
      </c>
      <c r="M9" s="12">
        <v>28</v>
      </c>
      <c r="N9" s="13"/>
      <c r="O9" s="11">
        <v>0.3</v>
      </c>
      <c r="P9" s="11">
        <f t="shared" si="0"/>
        <v>0.89999999999999991</v>
      </c>
      <c r="Q9" s="11">
        <v>0.08</v>
      </c>
      <c r="R9" s="11">
        <f t="shared" si="1"/>
        <v>0.24</v>
      </c>
      <c r="S9" s="11">
        <f t="shared" si="2"/>
        <v>3.2000000000000001E-2</v>
      </c>
      <c r="T9" s="11">
        <f t="shared" si="3"/>
        <v>9.6000000000000002E-2</v>
      </c>
    </row>
    <row r="10" spans="1:21" x14ac:dyDescent="0.25">
      <c r="A10" s="5">
        <v>10</v>
      </c>
      <c r="B10" s="5">
        <v>7</v>
      </c>
      <c r="C10" s="6" t="s">
        <v>42</v>
      </c>
      <c r="D10" s="7" t="s">
        <v>43</v>
      </c>
      <c r="E10" s="8" t="s">
        <v>44</v>
      </c>
      <c r="F10" s="5" t="s">
        <v>30</v>
      </c>
      <c r="G10" s="5" t="s">
        <v>45</v>
      </c>
      <c r="H10" s="42" t="s">
        <v>516</v>
      </c>
      <c r="I10" s="42" t="s">
        <v>512</v>
      </c>
      <c r="J10" s="5">
        <v>1210</v>
      </c>
      <c r="K10" s="9" t="s">
        <v>5</v>
      </c>
      <c r="L10" s="12" t="s">
        <v>6</v>
      </c>
      <c r="M10" s="12">
        <v>9</v>
      </c>
      <c r="N10" s="13" t="s">
        <v>46</v>
      </c>
      <c r="O10" s="11">
        <v>0.68</v>
      </c>
      <c r="P10" s="11">
        <f t="shared" si="0"/>
        <v>4.7600000000000007</v>
      </c>
      <c r="Q10" s="11">
        <v>0.216</v>
      </c>
      <c r="R10" s="11">
        <f t="shared" si="1"/>
        <v>1.512</v>
      </c>
      <c r="S10" s="11">
        <f t="shared" si="2"/>
        <v>8.6400000000000005E-2</v>
      </c>
      <c r="T10" s="11">
        <f t="shared" si="3"/>
        <v>0.6048</v>
      </c>
    </row>
    <row r="11" spans="1:21" x14ac:dyDescent="0.25">
      <c r="A11" s="5">
        <v>11</v>
      </c>
      <c r="B11" s="5">
        <v>2</v>
      </c>
      <c r="C11" s="6" t="s">
        <v>47</v>
      </c>
      <c r="D11" s="7" t="s">
        <v>48</v>
      </c>
      <c r="E11" s="8" t="s">
        <v>49</v>
      </c>
      <c r="F11" s="5" t="s">
        <v>30</v>
      </c>
      <c r="G11" s="5" t="s">
        <v>50</v>
      </c>
      <c r="H11" s="42" t="s">
        <v>517</v>
      </c>
      <c r="I11" s="42" t="s">
        <v>512</v>
      </c>
      <c r="J11" s="5">
        <v>1210</v>
      </c>
      <c r="K11" s="9" t="s">
        <v>5</v>
      </c>
      <c r="L11" s="12" t="s">
        <v>6</v>
      </c>
      <c r="M11" s="12">
        <v>22</v>
      </c>
      <c r="N11" s="13"/>
      <c r="O11" s="11">
        <v>1.6</v>
      </c>
      <c r="P11" s="11">
        <f t="shared" si="0"/>
        <v>3.2</v>
      </c>
      <c r="Q11" s="11">
        <v>0.61299999999999999</v>
      </c>
      <c r="R11" s="11">
        <f t="shared" si="1"/>
        <v>1.226</v>
      </c>
      <c r="S11" s="11">
        <f t="shared" si="2"/>
        <v>0.2452</v>
      </c>
      <c r="T11" s="11">
        <f t="shared" si="3"/>
        <v>0.4904</v>
      </c>
    </row>
    <row r="12" spans="1:21" x14ac:dyDescent="0.25">
      <c r="A12" s="5">
        <v>12</v>
      </c>
      <c r="B12" s="5">
        <v>1</v>
      </c>
      <c r="C12" s="6" t="s">
        <v>51</v>
      </c>
      <c r="D12" s="7" t="s">
        <v>48</v>
      </c>
      <c r="E12" s="8" t="s">
        <v>52</v>
      </c>
      <c r="F12" s="5" t="s">
        <v>3</v>
      </c>
      <c r="G12" s="5" t="s">
        <v>53</v>
      </c>
      <c r="H12" s="42"/>
      <c r="I12" s="42"/>
      <c r="J12" s="5">
        <v>1206</v>
      </c>
      <c r="K12" s="9" t="s">
        <v>5</v>
      </c>
      <c r="L12" s="12" t="s">
        <v>6</v>
      </c>
      <c r="M12" s="12">
        <v>18</v>
      </c>
      <c r="N12" s="13"/>
      <c r="O12" s="11">
        <v>1.03</v>
      </c>
      <c r="P12" s="11">
        <f t="shared" si="0"/>
        <v>1.03</v>
      </c>
      <c r="Q12" s="11">
        <v>0.37</v>
      </c>
      <c r="R12" s="11">
        <f t="shared" si="1"/>
        <v>0.37</v>
      </c>
      <c r="S12" s="11">
        <f t="shared" si="2"/>
        <v>0.14799999999999999</v>
      </c>
      <c r="T12" s="11">
        <f t="shared" si="3"/>
        <v>0.14799999999999999</v>
      </c>
    </row>
    <row r="13" spans="1:21" x14ac:dyDescent="0.25">
      <c r="A13" s="5">
        <v>13</v>
      </c>
      <c r="B13" s="5">
        <v>2</v>
      </c>
      <c r="C13" s="6" t="s">
        <v>54</v>
      </c>
      <c r="D13" s="7" t="s">
        <v>55</v>
      </c>
      <c r="E13" s="8" t="s">
        <v>56</v>
      </c>
      <c r="F13" s="5" t="s">
        <v>15</v>
      </c>
      <c r="G13" s="5" t="s">
        <v>57</v>
      </c>
      <c r="H13" s="42"/>
      <c r="I13" s="42"/>
      <c r="J13" s="5">
        <v>402</v>
      </c>
      <c r="K13" s="9" t="s">
        <v>5</v>
      </c>
      <c r="L13" s="12" t="s">
        <v>6</v>
      </c>
      <c r="M13" s="12">
        <v>21</v>
      </c>
      <c r="N13" s="13"/>
      <c r="O13" s="11">
        <v>0.47</v>
      </c>
      <c r="P13" s="11">
        <f t="shared" si="0"/>
        <v>0.94</v>
      </c>
      <c r="Q13" s="11">
        <v>0.123</v>
      </c>
      <c r="R13" s="11">
        <f t="shared" si="1"/>
        <v>0.246</v>
      </c>
      <c r="S13" s="11">
        <f t="shared" si="2"/>
        <v>4.9200000000000001E-2</v>
      </c>
      <c r="T13" s="11">
        <f t="shared" si="3"/>
        <v>9.8400000000000001E-2</v>
      </c>
    </row>
    <row r="14" spans="1:21" x14ac:dyDescent="0.25">
      <c r="A14" s="5">
        <v>14</v>
      </c>
      <c r="B14" s="5">
        <v>4</v>
      </c>
      <c r="C14" s="6" t="s">
        <v>58</v>
      </c>
      <c r="D14" s="7" t="s">
        <v>18</v>
      </c>
      <c r="E14" s="8" t="s">
        <v>19</v>
      </c>
      <c r="F14" s="5" t="s">
        <v>59</v>
      </c>
      <c r="G14" s="5" t="s">
        <v>60</v>
      </c>
      <c r="H14" s="42" t="s">
        <v>518</v>
      </c>
      <c r="I14" s="42" t="s">
        <v>514</v>
      </c>
      <c r="J14" s="5">
        <v>603</v>
      </c>
      <c r="K14" s="9" t="s">
        <v>5</v>
      </c>
      <c r="L14" s="12" t="s">
        <v>6</v>
      </c>
      <c r="M14" s="12">
        <v>22</v>
      </c>
      <c r="N14" s="13"/>
      <c r="O14" s="11">
        <v>0.2</v>
      </c>
      <c r="P14" s="11">
        <f t="shared" si="0"/>
        <v>0.8</v>
      </c>
      <c r="Q14" s="11">
        <v>4.2000000000000003E-2</v>
      </c>
      <c r="R14" s="11">
        <f t="shared" si="1"/>
        <v>0.16800000000000001</v>
      </c>
      <c r="S14" s="11">
        <f t="shared" si="2"/>
        <v>1.6800000000000002E-2</v>
      </c>
      <c r="T14" s="11">
        <f t="shared" si="3"/>
        <v>6.720000000000001E-2</v>
      </c>
    </row>
    <row r="15" spans="1:21" x14ac:dyDescent="0.25">
      <c r="A15" s="5">
        <v>15</v>
      </c>
      <c r="B15" s="5">
        <v>2</v>
      </c>
      <c r="C15" s="6" t="s">
        <v>61</v>
      </c>
      <c r="D15" s="7" t="s">
        <v>62</v>
      </c>
      <c r="E15" s="8" t="s">
        <v>63</v>
      </c>
      <c r="F15" s="5" t="s">
        <v>3</v>
      </c>
      <c r="G15" s="5" t="s">
        <v>64</v>
      </c>
      <c r="H15" s="42" t="s">
        <v>519</v>
      </c>
      <c r="I15" s="42" t="s">
        <v>512</v>
      </c>
      <c r="J15" s="5">
        <v>603</v>
      </c>
      <c r="K15" s="9" t="s">
        <v>5</v>
      </c>
      <c r="L15" s="12" t="s">
        <v>6</v>
      </c>
      <c r="M15" s="12">
        <v>35</v>
      </c>
      <c r="N15" s="13"/>
      <c r="O15" s="11">
        <v>0.12</v>
      </c>
      <c r="P15" s="11">
        <f t="shared" si="0"/>
        <v>0.24</v>
      </c>
      <c r="Q15" s="11">
        <v>2.3E-2</v>
      </c>
      <c r="R15" s="11">
        <f t="shared" si="1"/>
        <v>4.5999999999999999E-2</v>
      </c>
      <c r="S15" s="11">
        <f t="shared" si="2"/>
        <v>9.1999999999999998E-3</v>
      </c>
      <c r="T15" s="11">
        <f t="shared" si="3"/>
        <v>1.84E-2</v>
      </c>
    </row>
    <row r="16" spans="1:21" x14ac:dyDescent="0.25">
      <c r="A16" s="5">
        <v>16</v>
      </c>
      <c r="B16" s="5">
        <v>1</v>
      </c>
      <c r="C16" s="6" t="s">
        <v>65</v>
      </c>
      <c r="D16" s="7" t="s">
        <v>1</v>
      </c>
      <c r="E16" s="8" t="s">
        <v>66</v>
      </c>
      <c r="F16" s="5" t="s">
        <v>20</v>
      </c>
      <c r="G16" s="5" t="s">
        <v>67</v>
      </c>
      <c r="H16" s="42" t="s">
        <v>513</v>
      </c>
      <c r="I16" s="42" t="s">
        <v>520</v>
      </c>
      <c r="J16" s="5">
        <v>1206</v>
      </c>
      <c r="K16" s="9" t="s">
        <v>5</v>
      </c>
      <c r="L16" s="12" t="s">
        <v>6</v>
      </c>
      <c r="M16" s="12">
        <v>28</v>
      </c>
      <c r="N16" s="13"/>
      <c r="O16" s="11">
        <v>0.35</v>
      </c>
      <c r="P16" s="11">
        <f t="shared" si="0"/>
        <v>0.35</v>
      </c>
      <c r="Q16" s="11">
        <v>0.1</v>
      </c>
      <c r="R16" s="11">
        <f t="shared" si="1"/>
        <v>0.1</v>
      </c>
      <c r="S16" s="11">
        <f t="shared" si="2"/>
        <v>4.0000000000000008E-2</v>
      </c>
      <c r="T16" s="11">
        <f t="shared" si="3"/>
        <v>4.0000000000000008E-2</v>
      </c>
    </row>
    <row r="17" spans="1:20" ht="18.600000000000001" customHeight="1" x14ac:dyDescent="0.25">
      <c r="A17" s="5">
        <v>17</v>
      </c>
      <c r="B17" s="5">
        <v>8</v>
      </c>
      <c r="C17" s="6" t="s">
        <v>68</v>
      </c>
      <c r="D17" s="7" t="s">
        <v>69</v>
      </c>
      <c r="E17" s="8" t="s">
        <v>70</v>
      </c>
      <c r="F17" s="5" t="s">
        <v>3</v>
      </c>
      <c r="G17" s="5" t="s">
        <v>71</v>
      </c>
      <c r="H17" s="42"/>
      <c r="I17" s="42"/>
      <c r="J17" s="5">
        <v>603</v>
      </c>
      <c r="K17" s="9" t="s">
        <v>5</v>
      </c>
      <c r="L17" s="12" t="s">
        <v>22</v>
      </c>
      <c r="M17" s="12">
        <v>19</v>
      </c>
      <c r="N17" s="13" t="s">
        <v>68</v>
      </c>
      <c r="O17" s="11">
        <v>0.18</v>
      </c>
      <c r="P17" s="11">
        <f t="shared" si="0"/>
        <v>1.44</v>
      </c>
      <c r="Q17" s="11">
        <v>3.9E-2</v>
      </c>
      <c r="R17" s="11">
        <f t="shared" si="1"/>
        <v>0.312</v>
      </c>
      <c r="S17" s="11">
        <f t="shared" si="2"/>
        <v>1.5600000000000001E-2</v>
      </c>
      <c r="T17" s="11">
        <f t="shared" si="3"/>
        <v>0.12480000000000001</v>
      </c>
    </row>
    <row r="18" spans="1:20" x14ac:dyDescent="0.25">
      <c r="A18" s="5">
        <v>18</v>
      </c>
      <c r="B18" s="5">
        <v>4</v>
      </c>
      <c r="C18" s="6" t="s">
        <v>72</v>
      </c>
      <c r="D18" s="7" t="s">
        <v>8</v>
      </c>
      <c r="E18" s="8" t="s">
        <v>73</v>
      </c>
      <c r="F18" s="5" t="s">
        <v>30</v>
      </c>
      <c r="G18" s="5" t="s">
        <v>74</v>
      </c>
      <c r="H18" s="42" t="s">
        <v>521</v>
      </c>
      <c r="I18" s="42" t="s">
        <v>512</v>
      </c>
      <c r="J18" s="5">
        <v>1210</v>
      </c>
      <c r="K18" s="9" t="s">
        <v>5</v>
      </c>
      <c r="L18" s="12" t="s">
        <v>6</v>
      </c>
      <c r="M18" s="12">
        <v>8</v>
      </c>
      <c r="N18" s="13"/>
      <c r="O18" s="11">
        <v>0.71</v>
      </c>
      <c r="P18" s="11">
        <f t="shared" si="0"/>
        <v>2.84</v>
      </c>
      <c r="Q18" s="11">
        <v>0.19</v>
      </c>
      <c r="R18" s="11">
        <f t="shared" si="1"/>
        <v>0.76</v>
      </c>
      <c r="S18" s="11">
        <f t="shared" si="2"/>
        <v>7.6000000000000012E-2</v>
      </c>
      <c r="T18" s="11">
        <f t="shared" si="3"/>
        <v>0.30400000000000005</v>
      </c>
    </row>
    <row r="19" spans="1:20" x14ac:dyDescent="0.25">
      <c r="A19" s="5">
        <v>19</v>
      </c>
      <c r="B19" s="5">
        <v>7</v>
      </c>
      <c r="C19" s="6" t="s">
        <v>75</v>
      </c>
      <c r="D19" s="7" t="s">
        <v>13</v>
      </c>
      <c r="E19" s="8" t="s">
        <v>76</v>
      </c>
      <c r="F19" s="5" t="s">
        <v>59</v>
      </c>
      <c r="G19" s="5" t="s">
        <v>77</v>
      </c>
      <c r="H19" s="42" t="s">
        <v>522</v>
      </c>
      <c r="I19" s="42" t="s">
        <v>512</v>
      </c>
      <c r="J19" s="5">
        <v>603</v>
      </c>
      <c r="K19" s="9" t="s">
        <v>5</v>
      </c>
      <c r="L19" s="12" t="s">
        <v>6</v>
      </c>
      <c r="M19" s="12">
        <v>19</v>
      </c>
      <c r="N19" s="13"/>
      <c r="O19" s="11">
        <v>0.28000000000000003</v>
      </c>
      <c r="P19" s="11">
        <f t="shared" si="0"/>
        <v>1.9600000000000002</v>
      </c>
      <c r="Q19" s="11">
        <v>0.56999999999999995</v>
      </c>
      <c r="R19" s="11">
        <f t="shared" si="1"/>
        <v>3.9899999999999998</v>
      </c>
      <c r="S19" s="11">
        <f t="shared" si="2"/>
        <v>0.22799999999999998</v>
      </c>
      <c r="T19" s="11">
        <f t="shared" si="3"/>
        <v>1.5959999999999999</v>
      </c>
    </row>
    <row r="20" spans="1:20" x14ac:dyDescent="0.25">
      <c r="A20" s="5">
        <v>20</v>
      </c>
      <c r="B20" s="5">
        <v>1</v>
      </c>
      <c r="C20" s="6" t="s">
        <v>78</v>
      </c>
      <c r="D20" s="7" t="s">
        <v>79</v>
      </c>
      <c r="E20" s="8" t="s">
        <v>80</v>
      </c>
      <c r="F20" s="5" t="s">
        <v>30</v>
      </c>
      <c r="G20" s="5" t="s">
        <v>81</v>
      </c>
      <c r="H20" s="42" t="s">
        <v>523</v>
      </c>
      <c r="I20" s="42" t="s">
        <v>512</v>
      </c>
      <c r="J20" s="5">
        <v>1206</v>
      </c>
      <c r="K20" s="9" t="s">
        <v>5</v>
      </c>
      <c r="L20" s="12" t="s">
        <v>6</v>
      </c>
      <c r="M20" s="12">
        <v>11</v>
      </c>
      <c r="N20" s="13"/>
      <c r="O20" s="11">
        <v>0.28999999999999998</v>
      </c>
      <c r="P20" s="11">
        <f t="shared" si="0"/>
        <v>0.28999999999999998</v>
      </c>
      <c r="Q20" s="11">
        <v>0.06</v>
      </c>
      <c r="R20" s="11">
        <f t="shared" si="1"/>
        <v>0.06</v>
      </c>
      <c r="S20" s="11">
        <f t="shared" si="2"/>
        <v>2.4E-2</v>
      </c>
      <c r="T20" s="11">
        <f t="shared" si="3"/>
        <v>2.4E-2</v>
      </c>
    </row>
    <row r="21" spans="1:20" x14ac:dyDescent="0.25">
      <c r="A21" s="5">
        <v>21</v>
      </c>
      <c r="B21" s="5">
        <v>1</v>
      </c>
      <c r="C21" s="6" t="s">
        <v>82</v>
      </c>
      <c r="D21" s="7" t="s">
        <v>48</v>
      </c>
      <c r="E21" s="8" t="s">
        <v>83</v>
      </c>
      <c r="F21" s="5" t="s">
        <v>84</v>
      </c>
      <c r="G21" s="5" t="s">
        <v>85</v>
      </c>
      <c r="H21" s="42" t="s">
        <v>524</v>
      </c>
      <c r="I21" s="42" t="s">
        <v>514</v>
      </c>
      <c r="J21" s="5" t="s">
        <v>86</v>
      </c>
      <c r="K21" s="9" t="s">
        <v>5</v>
      </c>
      <c r="L21" s="12" t="s">
        <v>6</v>
      </c>
      <c r="M21" s="12">
        <v>29</v>
      </c>
      <c r="N21" s="13" t="s">
        <v>82</v>
      </c>
      <c r="O21" s="11">
        <v>0.62</v>
      </c>
      <c r="P21" s="11">
        <f t="shared" si="0"/>
        <v>0.62</v>
      </c>
      <c r="Q21" s="11">
        <v>0.41</v>
      </c>
      <c r="R21" s="11">
        <f t="shared" si="1"/>
        <v>0.41</v>
      </c>
      <c r="S21" s="11">
        <f t="shared" si="2"/>
        <v>0.16400000000000001</v>
      </c>
      <c r="T21" s="11">
        <f t="shared" si="3"/>
        <v>0.16400000000000001</v>
      </c>
    </row>
    <row r="22" spans="1:20" x14ac:dyDescent="0.25">
      <c r="A22" s="5">
        <v>22</v>
      </c>
      <c r="B22" s="5">
        <v>2</v>
      </c>
      <c r="C22" s="6" t="s">
        <v>87</v>
      </c>
      <c r="D22" s="7" t="s">
        <v>18</v>
      </c>
      <c r="E22" s="8" t="s">
        <v>88</v>
      </c>
      <c r="F22" s="5" t="s">
        <v>3</v>
      </c>
      <c r="G22" s="5" t="s">
        <v>89</v>
      </c>
      <c r="H22" s="42"/>
      <c r="I22" s="42"/>
      <c r="J22" s="5">
        <v>1206</v>
      </c>
      <c r="K22" s="9" t="s">
        <v>5</v>
      </c>
      <c r="L22" s="12" t="s">
        <v>6</v>
      </c>
      <c r="M22" s="12">
        <v>24</v>
      </c>
      <c r="N22" s="13"/>
      <c r="O22" s="11">
        <v>0.7</v>
      </c>
      <c r="P22" s="11">
        <f t="shared" si="0"/>
        <v>1.4</v>
      </c>
      <c r="Q22" s="11">
        <v>0.25</v>
      </c>
      <c r="R22" s="11">
        <f t="shared" si="1"/>
        <v>0.5</v>
      </c>
      <c r="S22" s="11">
        <f t="shared" si="2"/>
        <v>0.1</v>
      </c>
      <c r="T22" s="11">
        <f t="shared" si="3"/>
        <v>0.2</v>
      </c>
    </row>
    <row r="23" spans="1:20" x14ac:dyDescent="0.25">
      <c r="A23" s="5">
        <v>23</v>
      </c>
      <c r="B23" s="5">
        <v>2</v>
      </c>
      <c r="C23" s="6" t="s">
        <v>90</v>
      </c>
      <c r="D23" s="7" t="s">
        <v>79</v>
      </c>
      <c r="E23" s="8" t="s">
        <v>91</v>
      </c>
      <c r="F23" s="5" t="s">
        <v>3</v>
      </c>
      <c r="G23" s="5" t="s">
        <v>92</v>
      </c>
      <c r="H23" s="42"/>
      <c r="I23" s="42"/>
      <c r="J23" s="5">
        <v>603</v>
      </c>
      <c r="K23" s="9" t="s">
        <v>5</v>
      </c>
      <c r="L23" s="12" t="s">
        <v>6</v>
      </c>
      <c r="M23" s="12">
        <v>21</v>
      </c>
      <c r="N23" s="13"/>
      <c r="O23" s="11">
        <v>0.2</v>
      </c>
      <c r="P23" s="11">
        <f t="shared" si="0"/>
        <v>0.4</v>
      </c>
      <c r="Q23" s="11">
        <v>0.04</v>
      </c>
      <c r="R23" s="11">
        <f t="shared" si="1"/>
        <v>0.08</v>
      </c>
      <c r="S23" s="11">
        <f t="shared" si="2"/>
        <v>1.6E-2</v>
      </c>
      <c r="T23" s="11">
        <f t="shared" si="3"/>
        <v>3.2000000000000001E-2</v>
      </c>
    </row>
    <row r="24" spans="1:20" x14ac:dyDescent="0.25">
      <c r="A24" s="5">
        <v>24</v>
      </c>
      <c r="B24" s="5">
        <v>3</v>
      </c>
      <c r="C24" s="6" t="s">
        <v>93</v>
      </c>
      <c r="D24" s="7" t="s">
        <v>94</v>
      </c>
      <c r="E24" s="8" t="s">
        <v>14</v>
      </c>
      <c r="F24" s="5" t="s">
        <v>15</v>
      </c>
      <c r="G24" s="5" t="s">
        <v>16</v>
      </c>
      <c r="H24" s="42"/>
      <c r="I24" s="42"/>
      <c r="J24" s="5">
        <v>402</v>
      </c>
      <c r="K24" s="9" t="s">
        <v>5</v>
      </c>
      <c r="L24" s="5" t="s">
        <v>6</v>
      </c>
      <c r="M24" s="5">
        <v>19</v>
      </c>
      <c r="N24" s="8" t="s">
        <v>93</v>
      </c>
      <c r="O24" s="11">
        <v>0.12</v>
      </c>
      <c r="P24" s="11">
        <f t="shared" si="0"/>
        <v>0.36</v>
      </c>
      <c r="Q24" s="11">
        <v>2.1999999999999999E-2</v>
      </c>
      <c r="R24" s="11">
        <f t="shared" si="1"/>
        <v>6.6000000000000003E-2</v>
      </c>
      <c r="S24" s="11">
        <f t="shared" si="2"/>
        <v>8.8000000000000005E-3</v>
      </c>
      <c r="T24" s="11">
        <f t="shared" si="3"/>
        <v>2.64E-2</v>
      </c>
    </row>
    <row r="25" spans="1:20" x14ac:dyDescent="0.25">
      <c r="A25" s="5">
        <v>25</v>
      </c>
      <c r="B25" s="5">
        <v>2</v>
      </c>
      <c r="C25" s="6" t="s">
        <v>95</v>
      </c>
      <c r="D25" s="7" t="s">
        <v>96</v>
      </c>
      <c r="E25" s="8" t="s">
        <v>97</v>
      </c>
      <c r="F25" s="5" t="s">
        <v>26</v>
      </c>
      <c r="G25" s="5" t="s">
        <v>98</v>
      </c>
      <c r="H25" s="42" t="s">
        <v>525</v>
      </c>
      <c r="I25" s="42" t="s">
        <v>526</v>
      </c>
      <c r="J25" s="5">
        <v>603</v>
      </c>
      <c r="K25" s="9" t="s">
        <v>5</v>
      </c>
      <c r="L25" s="12" t="s">
        <v>6</v>
      </c>
      <c r="M25" s="12">
        <v>16</v>
      </c>
      <c r="N25" s="13"/>
      <c r="O25" s="11">
        <v>0.24</v>
      </c>
      <c r="P25" s="11">
        <f t="shared" si="0"/>
        <v>0.48</v>
      </c>
      <c r="Q25" s="11">
        <v>0.05</v>
      </c>
      <c r="R25" s="11">
        <f t="shared" si="1"/>
        <v>0.1</v>
      </c>
      <c r="S25" s="11">
        <f t="shared" si="2"/>
        <v>2.0000000000000004E-2</v>
      </c>
      <c r="T25" s="11">
        <f t="shared" si="3"/>
        <v>4.0000000000000008E-2</v>
      </c>
    </row>
    <row r="26" spans="1:20" x14ac:dyDescent="0.25">
      <c r="A26" s="5">
        <v>26</v>
      </c>
      <c r="B26" s="5">
        <v>2</v>
      </c>
      <c r="C26" s="6" t="s">
        <v>99</v>
      </c>
      <c r="D26" s="7" t="s">
        <v>100</v>
      </c>
      <c r="E26" s="8" t="s">
        <v>101</v>
      </c>
      <c r="F26" s="5" t="s">
        <v>3</v>
      </c>
      <c r="G26" s="5" t="s">
        <v>102</v>
      </c>
      <c r="H26" s="42"/>
      <c r="I26" s="42"/>
      <c r="J26" s="5">
        <v>603</v>
      </c>
      <c r="K26" s="9" t="s">
        <v>5</v>
      </c>
      <c r="L26" s="12" t="s">
        <v>6</v>
      </c>
      <c r="M26" s="12">
        <v>27</v>
      </c>
      <c r="N26" s="13"/>
      <c r="O26" s="11">
        <v>0.19</v>
      </c>
      <c r="P26" s="11">
        <f t="shared" si="0"/>
        <v>0.38</v>
      </c>
      <c r="Q26" s="11">
        <v>0.4</v>
      </c>
      <c r="R26" s="11">
        <f t="shared" si="1"/>
        <v>0.8</v>
      </c>
      <c r="S26" s="11">
        <f t="shared" si="2"/>
        <v>0.16000000000000003</v>
      </c>
      <c r="T26" s="11">
        <f t="shared" si="3"/>
        <v>0.32000000000000006</v>
      </c>
    </row>
    <row r="27" spans="1:20" x14ac:dyDescent="0.25">
      <c r="A27" s="5">
        <v>27</v>
      </c>
      <c r="B27" s="5">
        <v>3</v>
      </c>
      <c r="C27" s="6" t="s">
        <v>103</v>
      </c>
      <c r="D27" s="7" t="s">
        <v>55</v>
      </c>
      <c r="E27" s="8" t="s">
        <v>40</v>
      </c>
      <c r="F27" s="5" t="s">
        <v>20</v>
      </c>
      <c r="G27" s="5" t="s">
        <v>41</v>
      </c>
      <c r="H27" s="42"/>
      <c r="I27" s="42"/>
      <c r="J27" s="5">
        <v>1206</v>
      </c>
      <c r="K27" s="9" t="s">
        <v>5</v>
      </c>
      <c r="L27" s="12" t="s">
        <v>6</v>
      </c>
      <c r="M27" s="12">
        <v>28</v>
      </c>
      <c r="N27" s="13"/>
      <c r="O27" s="11">
        <v>0.34</v>
      </c>
      <c r="P27" s="11">
        <f t="shared" si="0"/>
        <v>1.02</v>
      </c>
      <c r="Q27" s="11">
        <v>0.08</v>
      </c>
      <c r="R27" s="11">
        <f t="shared" si="1"/>
        <v>0.24</v>
      </c>
      <c r="S27" s="11">
        <f t="shared" si="2"/>
        <v>3.2000000000000001E-2</v>
      </c>
      <c r="T27" s="11">
        <f t="shared" si="3"/>
        <v>9.6000000000000002E-2</v>
      </c>
    </row>
    <row r="28" spans="1:20" x14ac:dyDescent="0.25">
      <c r="A28" s="5">
        <v>28</v>
      </c>
      <c r="B28" s="5">
        <v>1</v>
      </c>
      <c r="C28" s="6" t="s">
        <v>104</v>
      </c>
      <c r="D28" s="7" t="s">
        <v>105</v>
      </c>
      <c r="E28" s="8" t="s">
        <v>106</v>
      </c>
      <c r="F28" s="5" t="s">
        <v>59</v>
      </c>
      <c r="G28" s="5" t="s">
        <v>107</v>
      </c>
      <c r="H28" s="42"/>
      <c r="I28" s="42"/>
      <c r="J28" s="5">
        <v>402</v>
      </c>
      <c r="K28" s="9" t="s">
        <v>5</v>
      </c>
      <c r="L28" s="12" t="s">
        <v>6</v>
      </c>
      <c r="M28" s="12">
        <v>15</v>
      </c>
      <c r="N28" s="13"/>
      <c r="O28" s="11">
        <v>0.24</v>
      </c>
      <c r="P28" s="11">
        <f t="shared" si="0"/>
        <v>0.24</v>
      </c>
      <c r="Q28" s="11">
        <v>5.6000000000000001E-2</v>
      </c>
      <c r="R28" s="11">
        <f t="shared" si="1"/>
        <v>5.6000000000000001E-2</v>
      </c>
      <c r="S28" s="11">
        <f t="shared" si="2"/>
        <v>2.2400000000000003E-2</v>
      </c>
      <c r="T28" s="11">
        <f t="shared" si="3"/>
        <v>2.2400000000000003E-2</v>
      </c>
    </row>
    <row r="29" spans="1:20" x14ac:dyDescent="0.25">
      <c r="A29" s="5">
        <v>29</v>
      </c>
      <c r="B29" s="5">
        <v>1</v>
      </c>
      <c r="C29" s="6" t="s">
        <v>108</v>
      </c>
      <c r="D29" s="7" t="s">
        <v>109</v>
      </c>
      <c r="E29" s="8" t="s">
        <v>110</v>
      </c>
      <c r="F29" s="5" t="s">
        <v>111</v>
      </c>
      <c r="G29" s="5" t="s">
        <v>112</v>
      </c>
      <c r="H29" s="42"/>
      <c r="I29" s="42"/>
      <c r="J29" s="5">
        <v>402</v>
      </c>
      <c r="K29" s="9" t="s">
        <v>5</v>
      </c>
      <c r="L29" s="12" t="s">
        <v>6</v>
      </c>
      <c r="M29" s="12">
        <v>14</v>
      </c>
      <c r="N29" s="13"/>
      <c r="O29" s="11">
        <v>0.26</v>
      </c>
      <c r="P29" s="11">
        <f t="shared" si="0"/>
        <v>0.26</v>
      </c>
      <c r="Q29" s="11">
        <v>5.5E-2</v>
      </c>
      <c r="R29" s="11">
        <f t="shared" si="1"/>
        <v>5.5E-2</v>
      </c>
      <c r="S29" s="11">
        <f t="shared" si="2"/>
        <v>2.2000000000000002E-2</v>
      </c>
      <c r="T29" s="11">
        <f t="shared" si="3"/>
        <v>2.2000000000000002E-2</v>
      </c>
    </row>
    <row r="30" spans="1:20" x14ac:dyDescent="0.25">
      <c r="A30" s="5">
        <v>30</v>
      </c>
      <c r="B30" s="5">
        <v>2</v>
      </c>
      <c r="C30" s="6" t="s">
        <v>113</v>
      </c>
      <c r="D30" s="7" t="s">
        <v>114</v>
      </c>
      <c r="E30" s="8" t="s">
        <v>106</v>
      </c>
      <c r="F30" s="5" t="s">
        <v>59</v>
      </c>
      <c r="G30" s="5" t="s">
        <v>107</v>
      </c>
      <c r="H30" s="42"/>
      <c r="I30" s="42"/>
      <c r="J30" s="5">
        <v>402</v>
      </c>
      <c r="K30" s="9" t="s">
        <v>5</v>
      </c>
      <c r="L30" s="12" t="s">
        <v>6</v>
      </c>
      <c r="M30" s="12">
        <v>15</v>
      </c>
      <c r="N30" s="13" t="s">
        <v>113</v>
      </c>
      <c r="O30" s="11">
        <v>0.24</v>
      </c>
      <c r="P30" s="11">
        <f t="shared" si="0"/>
        <v>0.48</v>
      </c>
      <c r="Q30" s="11">
        <v>0.56000000000000005</v>
      </c>
      <c r="R30" s="11">
        <f t="shared" si="1"/>
        <v>1.1200000000000001</v>
      </c>
      <c r="S30" s="11">
        <f t="shared" si="2"/>
        <v>0.22400000000000003</v>
      </c>
      <c r="T30" s="11">
        <f t="shared" si="3"/>
        <v>0.44800000000000006</v>
      </c>
    </row>
    <row r="31" spans="1:20" x14ac:dyDescent="0.25">
      <c r="A31" s="5">
        <v>31</v>
      </c>
      <c r="B31" s="5">
        <v>2</v>
      </c>
      <c r="C31" s="6" t="s">
        <v>115</v>
      </c>
      <c r="D31" s="7" t="s">
        <v>116</v>
      </c>
      <c r="E31" s="8" t="s">
        <v>117</v>
      </c>
      <c r="F31" s="5" t="s">
        <v>20</v>
      </c>
      <c r="G31" s="5" t="s">
        <v>118</v>
      </c>
      <c r="H31" s="42" t="s">
        <v>527</v>
      </c>
      <c r="I31" s="42" t="s">
        <v>514</v>
      </c>
      <c r="J31" s="5">
        <v>402</v>
      </c>
      <c r="K31" s="9" t="s">
        <v>5</v>
      </c>
      <c r="L31" s="5" t="s">
        <v>6</v>
      </c>
      <c r="M31" s="5">
        <v>15</v>
      </c>
      <c r="N31" s="8" t="s">
        <v>115</v>
      </c>
      <c r="O31" s="11">
        <v>0.1</v>
      </c>
      <c r="P31" s="11">
        <f t="shared" si="0"/>
        <v>0.2</v>
      </c>
      <c r="Q31" s="11">
        <v>0.01</v>
      </c>
      <c r="R31" s="11">
        <f t="shared" si="1"/>
        <v>0.02</v>
      </c>
      <c r="S31" s="11">
        <f t="shared" si="2"/>
        <v>4.0000000000000001E-3</v>
      </c>
      <c r="T31" s="11">
        <f t="shared" si="3"/>
        <v>8.0000000000000002E-3</v>
      </c>
    </row>
    <row r="32" spans="1:20" ht="30" x14ac:dyDescent="0.25">
      <c r="A32" s="5">
        <v>32</v>
      </c>
      <c r="B32" s="5">
        <v>1</v>
      </c>
      <c r="C32" s="6" t="s">
        <v>119</v>
      </c>
      <c r="D32" s="7" t="s">
        <v>120</v>
      </c>
      <c r="E32" s="8" t="s">
        <v>121</v>
      </c>
      <c r="F32" s="5" t="s">
        <v>20</v>
      </c>
      <c r="G32" s="5" t="s">
        <v>122</v>
      </c>
      <c r="H32" s="42"/>
      <c r="I32" s="42"/>
      <c r="J32" s="5">
        <v>603</v>
      </c>
      <c r="K32" s="9" t="s">
        <v>5</v>
      </c>
      <c r="L32" s="12" t="s">
        <v>6</v>
      </c>
      <c r="M32" s="12">
        <v>28</v>
      </c>
      <c r="N32" s="13"/>
      <c r="O32" s="11">
        <v>0.1</v>
      </c>
      <c r="P32" s="11">
        <f t="shared" si="0"/>
        <v>0.1</v>
      </c>
      <c r="Q32" s="11">
        <v>8.0000000000000002E-3</v>
      </c>
      <c r="R32" s="11">
        <f t="shared" si="1"/>
        <v>8.0000000000000002E-3</v>
      </c>
      <c r="S32" s="11">
        <f t="shared" si="2"/>
        <v>3.2000000000000002E-3</v>
      </c>
      <c r="T32" s="11">
        <f t="shared" si="3"/>
        <v>3.2000000000000002E-3</v>
      </c>
    </row>
    <row r="33" spans="1:22" ht="30" x14ac:dyDescent="0.25">
      <c r="A33" s="5">
        <v>33</v>
      </c>
      <c r="B33" s="5">
        <v>7</v>
      </c>
      <c r="C33" s="6" t="s">
        <v>123</v>
      </c>
      <c r="D33" s="7" t="s">
        <v>124</v>
      </c>
      <c r="E33" s="8" t="s">
        <v>125</v>
      </c>
      <c r="F33" s="5" t="s">
        <v>15</v>
      </c>
      <c r="G33" s="5" t="s">
        <v>126</v>
      </c>
      <c r="H33" s="42"/>
      <c r="I33" s="42"/>
      <c r="J33" s="5">
        <v>603</v>
      </c>
      <c r="K33" s="9" t="s">
        <v>5</v>
      </c>
      <c r="L33" s="12" t="s">
        <v>6</v>
      </c>
      <c r="M33" s="12">
        <v>23</v>
      </c>
      <c r="N33" s="13"/>
      <c r="O33" s="11">
        <v>0.15</v>
      </c>
      <c r="P33" s="11">
        <f t="shared" ref="P33:P53" si="4">O33*B33</f>
        <v>1.05</v>
      </c>
      <c r="Q33" s="11">
        <v>2.8000000000000001E-2</v>
      </c>
      <c r="R33" s="11">
        <f t="shared" ref="R33:R53" si="5">Q33*B33</f>
        <v>0.19600000000000001</v>
      </c>
      <c r="S33" s="11">
        <f t="shared" ref="S33:S53" si="6">Q33*0.4</f>
        <v>1.1200000000000002E-2</v>
      </c>
      <c r="T33" s="11">
        <f t="shared" ref="T33:T53" si="7">S33*B33</f>
        <v>7.8400000000000011E-2</v>
      </c>
    </row>
    <row r="34" spans="1:22" x14ac:dyDescent="0.25">
      <c r="A34" s="5">
        <v>34</v>
      </c>
      <c r="B34" s="5">
        <v>4</v>
      </c>
      <c r="C34" s="6" t="s">
        <v>127</v>
      </c>
      <c r="D34" s="7" t="s">
        <v>128</v>
      </c>
      <c r="E34" s="8" t="s">
        <v>129</v>
      </c>
      <c r="F34" s="5" t="s">
        <v>130</v>
      </c>
      <c r="G34" s="5" t="s">
        <v>131</v>
      </c>
      <c r="H34" s="42" t="s">
        <v>540</v>
      </c>
      <c r="I34" s="42" t="s">
        <v>512</v>
      </c>
      <c r="J34" s="5" t="s">
        <v>132</v>
      </c>
      <c r="K34" s="12" t="s">
        <v>133</v>
      </c>
      <c r="L34" s="12" t="s">
        <v>6</v>
      </c>
      <c r="M34" s="12">
        <v>26</v>
      </c>
      <c r="N34" s="13"/>
      <c r="O34" s="11">
        <v>0.42</v>
      </c>
      <c r="P34" s="11">
        <f t="shared" si="4"/>
        <v>1.68</v>
      </c>
      <c r="Q34" s="11">
        <v>0.1</v>
      </c>
      <c r="R34" s="11">
        <f t="shared" si="5"/>
        <v>0.4</v>
      </c>
      <c r="S34" s="11">
        <f t="shared" si="6"/>
        <v>4.0000000000000008E-2</v>
      </c>
      <c r="T34" s="11">
        <f t="shared" si="7"/>
        <v>0.16000000000000003</v>
      </c>
    </row>
    <row r="35" spans="1:22" x14ac:dyDescent="0.25">
      <c r="A35" s="5">
        <v>35</v>
      </c>
      <c r="B35" s="5">
        <v>1</v>
      </c>
      <c r="C35" s="6" t="s">
        <v>134</v>
      </c>
      <c r="D35" s="7" t="s">
        <v>135</v>
      </c>
      <c r="E35" s="8" t="s">
        <v>136</v>
      </c>
      <c r="F35" s="5" t="s">
        <v>130</v>
      </c>
      <c r="G35" s="5" t="s">
        <v>135</v>
      </c>
      <c r="H35" s="42"/>
      <c r="I35" s="42"/>
      <c r="J35" s="5" t="s">
        <v>137</v>
      </c>
      <c r="K35" s="12" t="s">
        <v>133</v>
      </c>
      <c r="L35" s="12" t="s">
        <v>6</v>
      </c>
      <c r="M35" s="12">
        <v>26</v>
      </c>
      <c r="N35" s="13"/>
      <c r="O35" s="11">
        <v>0.21</v>
      </c>
      <c r="P35" s="11">
        <f t="shared" si="4"/>
        <v>0.21</v>
      </c>
      <c r="Q35" s="11">
        <v>1.6E-2</v>
      </c>
      <c r="R35" s="11">
        <f t="shared" si="5"/>
        <v>1.6E-2</v>
      </c>
      <c r="S35" s="11">
        <f t="shared" si="6"/>
        <v>6.4000000000000003E-3</v>
      </c>
      <c r="T35" s="11">
        <f t="shared" si="7"/>
        <v>6.4000000000000003E-3</v>
      </c>
    </row>
    <row r="36" spans="1:22" ht="30" x14ac:dyDescent="0.25">
      <c r="A36" s="5">
        <v>36</v>
      </c>
      <c r="B36" s="5">
        <v>16</v>
      </c>
      <c r="C36" s="6" t="s">
        <v>138</v>
      </c>
      <c r="D36" s="7" t="s">
        <v>139</v>
      </c>
      <c r="E36" s="8" t="s">
        <v>140</v>
      </c>
      <c r="F36" s="5" t="s">
        <v>130</v>
      </c>
      <c r="G36" s="5" t="s">
        <v>139</v>
      </c>
      <c r="H36" s="42"/>
      <c r="I36" s="42"/>
      <c r="J36" s="5" t="s">
        <v>137</v>
      </c>
      <c r="K36" s="12" t="s">
        <v>133</v>
      </c>
      <c r="L36" s="12" t="s">
        <v>22</v>
      </c>
      <c r="M36" s="12">
        <v>26</v>
      </c>
      <c r="N36" s="13"/>
      <c r="O36" s="11">
        <v>0.12</v>
      </c>
      <c r="P36" s="11">
        <f t="shared" si="4"/>
        <v>1.92</v>
      </c>
      <c r="Q36" s="11">
        <v>0.02</v>
      </c>
      <c r="R36" s="11">
        <f t="shared" si="5"/>
        <v>0.32</v>
      </c>
      <c r="S36" s="11">
        <f t="shared" si="6"/>
        <v>8.0000000000000002E-3</v>
      </c>
      <c r="T36" s="11">
        <f t="shared" si="7"/>
        <v>0.128</v>
      </c>
    </row>
    <row r="37" spans="1:22" x14ac:dyDescent="0.25">
      <c r="A37" s="5">
        <v>37</v>
      </c>
      <c r="B37" s="5">
        <v>9</v>
      </c>
      <c r="C37" s="6" t="s">
        <v>141</v>
      </c>
      <c r="D37" s="7" t="s">
        <v>142</v>
      </c>
      <c r="E37" s="8" t="s">
        <v>143</v>
      </c>
      <c r="F37" s="5" t="s">
        <v>144</v>
      </c>
      <c r="G37" s="5" t="s">
        <v>145</v>
      </c>
      <c r="H37" s="42"/>
      <c r="I37" s="42"/>
      <c r="J37" s="5" t="s">
        <v>146</v>
      </c>
      <c r="K37" s="12" t="s">
        <v>133</v>
      </c>
      <c r="L37" s="12" t="s">
        <v>6</v>
      </c>
      <c r="M37" s="12">
        <v>40</v>
      </c>
      <c r="N37" s="13"/>
      <c r="O37" s="11">
        <v>0.41</v>
      </c>
      <c r="P37" s="11">
        <f t="shared" si="4"/>
        <v>3.69</v>
      </c>
      <c r="Q37" s="11">
        <v>0.1</v>
      </c>
      <c r="R37" s="11">
        <f t="shared" si="5"/>
        <v>0.9</v>
      </c>
      <c r="S37" s="11">
        <f t="shared" si="6"/>
        <v>4.0000000000000008E-2</v>
      </c>
      <c r="T37" s="11">
        <f t="shared" si="7"/>
        <v>0.3600000000000001</v>
      </c>
    </row>
    <row r="38" spans="1:22" x14ac:dyDescent="0.25">
      <c r="A38" s="5">
        <v>38</v>
      </c>
      <c r="B38" s="5">
        <v>1</v>
      </c>
      <c r="C38" s="6" t="s">
        <v>147</v>
      </c>
      <c r="D38" s="7" t="s">
        <v>148</v>
      </c>
      <c r="E38" s="8" t="s">
        <v>149</v>
      </c>
      <c r="F38" s="5" t="s">
        <v>150</v>
      </c>
      <c r="G38" s="5" t="s">
        <v>148</v>
      </c>
      <c r="H38" s="42"/>
      <c r="I38" s="42"/>
      <c r="J38" s="5" t="s">
        <v>151</v>
      </c>
      <c r="K38" s="12" t="s">
        <v>133</v>
      </c>
      <c r="L38" s="12" t="s">
        <v>6</v>
      </c>
      <c r="M38" s="12">
        <v>43</v>
      </c>
      <c r="N38" s="13"/>
      <c r="O38" s="11">
        <v>0.14000000000000001</v>
      </c>
      <c r="P38" s="11">
        <f t="shared" si="4"/>
        <v>0.14000000000000001</v>
      </c>
      <c r="Q38" s="11">
        <v>0.02</v>
      </c>
      <c r="R38" s="11">
        <f t="shared" si="5"/>
        <v>0.02</v>
      </c>
      <c r="S38" s="11">
        <f t="shared" si="6"/>
        <v>8.0000000000000002E-3</v>
      </c>
      <c r="T38" s="11">
        <f t="shared" si="7"/>
        <v>8.0000000000000002E-3</v>
      </c>
    </row>
    <row r="39" spans="1:22" x14ac:dyDescent="0.25">
      <c r="A39" s="5">
        <v>39</v>
      </c>
      <c r="B39" s="5">
        <v>2</v>
      </c>
      <c r="C39" s="6" t="s">
        <v>152</v>
      </c>
      <c r="D39" s="7" t="s">
        <v>153</v>
      </c>
      <c r="E39" s="8" t="s">
        <v>154</v>
      </c>
      <c r="F39" s="5" t="s">
        <v>155</v>
      </c>
      <c r="G39" s="5" t="s">
        <v>153</v>
      </c>
      <c r="H39" s="42"/>
      <c r="I39" s="42"/>
      <c r="J39" s="5" t="s">
        <v>156</v>
      </c>
      <c r="K39" s="12" t="s">
        <v>133</v>
      </c>
      <c r="L39" s="12" t="s">
        <v>6</v>
      </c>
      <c r="M39" s="12">
        <v>27</v>
      </c>
      <c r="N39" s="13"/>
      <c r="O39" s="11">
        <v>0.41</v>
      </c>
      <c r="P39" s="11">
        <f t="shared" si="4"/>
        <v>0.82</v>
      </c>
      <c r="Q39" s="11">
        <v>0.1</v>
      </c>
      <c r="R39" s="11">
        <f t="shared" si="5"/>
        <v>0.2</v>
      </c>
      <c r="S39" s="11">
        <f t="shared" si="6"/>
        <v>4.0000000000000008E-2</v>
      </c>
      <c r="T39" s="11">
        <f t="shared" si="7"/>
        <v>8.0000000000000016E-2</v>
      </c>
    </row>
    <row r="40" spans="1:22" x14ac:dyDescent="0.25">
      <c r="A40" s="5">
        <v>40</v>
      </c>
      <c r="B40" s="5">
        <v>1</v>
      </c>
      <c r="C40" s="6" t="s">
        <v>157</v>
      </c>
      <c r="D40" s="7" t="s">
        <v>158</v>
      </c>
      <c r="E40" s="8" t="s">
        <v>159</v>
      </c>
      <c r="F40" s="5" t="s">
        <v>160</v>
      </c>
      <c r="G40" s="5" t="s">
        <v>161</v>
      </c>
      <c r="H40" s="42"/>
      <c r="I40" s="42"/>
      <c r="J40" s="5" t="s">
        <v>86</v>
      </c>
      <c r="K40" s="12" t="s">
        <v>162</v>
      </c>
      <c r="L40" s="12" t="s">
        <v>6</v>
      </c>
      <c r="M40" s="12">
        <v>15</v>
      </c>
      <c r="N40" s="13"/>
      <c r="O40" s="11">
        <v>1.84</v>
      </c>
      <c r="P40" s="11">
        <f t="shared" si="4"/>
        <v>1.84</v>
      </c>
      <c r="Q40" s="11">
        <v>0.9</v>
      </c>
      <c r="R40" s="11">
        <f t="shared" si="5"/>
        <v>0.9</v>
      </c>
      <c r="S40" s="11">
        <f t="shared" si="6"/>
        <v>0.36000000000000004</v>
      </c>
      <c r="T40" s="11">
        <f t="shared" si="7"/>
        <v>0.36000000000000004</v>
      </c>
    </row>
    <row r="41" spans="1:22" x14ac:dyDescent="0.25">
      <c r="A41" s="5">
        <v>41</v>
      </c>
      <c r="B41" s="5">
        <v>1</v>
      </c>
      <c r="C41" s="6" t="s">
        <v>163</v>
      </c>
      <c r="D41" s="7" t="s">
        <v>164</v>
      </c>
      <c r="E41" s="8" t="s">
        <v>165</v>
      </c>
      <c r="F41" s="5" t="s">
        <v>160</v>
      </c>
      <c r="G41" s="7" t="s">
        <v>164</v>
      </c>
      <c r="H41" s="43"/>
      <c r="I41" s="43"/>
      <c r="J41" s="5" t="s">
        <v>86</v>
      </c>
      <c r="K41" s="12" t="s">
        <v>162</v>
      </c>
      <c r="L41" s="12" t="s">
        <v>6</v>
      </c>
      <c r="M41" s="12" t="s">
        <v>11</v>
      </c>
      <c r="N41" s="13"/>
      <c r="O41" s="11">
        <v>4.62</v>
      </c>
      <c r="P41" s="11">
        <f t="shared" si="4"/>
        <v>4.62</v>
      </c>
      <c r="Q41" s="11">
        <f>O41/1.4</f>
        <v>3.3000000000000003</v>
      </c>
      <c r="R41" s="11">
        <f t="shared" si="5"/>
        <v>3.3000000000000003</v>
      </c>
      <c r="S41" s="11">
        <f t="shared" si="6"/>
        <v>1.3200000000000003</v>
      </c>
      <c r="T41" s="11">
        <f t="shared" si="7"/>
        <v>1.3200000000000003</v>
      </c>
    </row>
    <row r="42" spans="1:22" x14ac:dyDescent="0.25">
      <c r="A42" s="5">
        <v>42</v>
      </c>
      <c r="B42" s="5">
        <v>1</v>
      </c>
      <c r="C42" s="6" t="s">
        <v>166</v>
      </c>
      <c r="D42" s="7" t="s">
        <v>167</v>
      </c>
      <c r="E42" s="8" t="s">
        <v>168</v>
      </c>
      <c r="F42" s="5" t="s">
        <v>169</v>
      </c>
      <c r="G42" s="5" t="s">
        <v>170</v>
      </c>
      <c r="H42" s="42"/>
      <c r="I42" s="42"/>
      <c r="J42" s="5">
        <v>1206</v>
      </c>
      <c r="K42" s="12" t="s">
        <v>171</v>
      </c>
      <c r="L42" s="12" t="s">
        <v>6</v>
      </c>
      <c r="M42" s="12">
        <v>13</v>
      </c>
      <c r="N42" s="13"/>
      <c r="O42" s="11">
        <v>1.38</v>
      </c>
      <c r="P42" s="11">
        <f t="shared" si="4"/>
        <v>1.38</v>
      </c>
      <c r="Q42" s="11">
        <v>0.6</v>
      </c>
      <c r="R42" s="11">
        <f t="shared" si="5"/>
        <v>0.6</v>
      </c>
      <c r="S42" s="11">
        <f t="shared" si="6"/>
        <v>0.24</v>
      </c>
      <c r="T42" s="11">
        <f t="shared" si="7"/>
        <v>0.24</v>
      </c>
    </row>
    <row r="43" spans="1:22" x14ac:dyDescent="0.25">
      <c r="A43" s="5">
        <v>43</v>
      </c>
      <c r="B43" s="5">
        <v>1</v>
      </c>
      <c r="C43" s="6" t="s">
        <v>172</v>
      </c>
      <c r="D43" s="7" t="s">
        <v>173</v>
      </c>
      <c r="E43" s="8" t="s">
        <v>174</v>
      </c>
      <c r="F43" s="5" t="s">
        <v>169</v>
      </c>
      <c r="G43" s="5" t="s">
        <v>175</v>
      </c>
      <c r="H43" s="42"/>
      <c r="I43" s="42"/>
      <c r="J43" s="5">
        <v>1206</v>
      </c>
      <c r="K43" s="12" t="s">
        <v>171</v>
      </c>
      <c r="L43" s="12" t="s">
        <v>6</v>
      </c>
      <c r="M43" s="12">
        <v>13</v>
      </c>
      <c r="N43" s="13"/>
      <c r="O43" s="11">
        <v>1.38</v>
      </c>
      <c r="P43" s="11">
        <f t="shared" si="4"/>
        <v>1.38</v>
      </c>
      <c r="Q43" s="11">
        <v>0.6</v>
      </c>
      <c r="R43" s="11">
        <f t="shared" si="5"/>
        <v>0.6</v>
      </c>
      <c r="S43" s="11">
        <f t="shared" si="6"/>
        <v>0.24</v>
      </c>
      <c r="T43" s="11">
        <f t="shared" si="7"/>
        <v>0.24</v>
      </c>
    </row>
    <row r="44" spans="1:22" ht="30" x14ac:dyDescent="0.25">
      <c r="A44" s="5">
        <v>44</v>
      </c>
      <c r="B44" s="5">
        <v>1</v>
      </c>
      <c r="C44" s="6" t="s">
        <v>176</v>
      </c>
      <c r="D44" s="7" t="s">
        <v>177</v>
      </c>
      <c r="E44" s="8" t="s">
        <v>178</v>
      </c>
      <c r="F44" s="5" t="s">
        <v>179</v>
      </c>
      <c r="G44" s="5" t="s">
        <v>177</v>
      </c>
      <c r="H44" s="42"/>
      <c r="I44" s="42"/>
      <c r="J44" s="5" t="s">
        <v>180</v>
      </c>
      <c r="K44" s="12" t="s">
        <v>181</v>
      </c>
      <c r="L44" s="12" t="s">
        <v>6</v>
      </c>
      <c r="M44" s="12">
        <v>16</v>
      </c>
      <c r="N44" s="13"/>
      <c r="O44" s="11">
        <v>6.3</v>
      </c>
      <c r="P44" s="11">
        <f t="shared" si="4"/>
        <v>6.3</v>
      </c>
      <c r="Q44" s="11">
        <v>3.85</v>
      </c>
      <c r="R44" s="11">
        <f t="shared" si="5"/>
        <v>3.85</v>
      </c>
      <c r="S44" s="11">
        <f t="shared" si="6"/>
        <v>1.54</v>
      </c>
      <c r="T44" s="11">
        <f t="shared" si="7"/>
        <v>1.54</v>
      </c>
    </row>
    <row r="45" spans="1:22" ht="30" x14ac:dyDescent="0.25">
      <c r="A45" s="5">
        <v>45</v>
      </c>
      <c r="B45" s="5">
        <v>1</v>
      </c>
      <c r="C45" s="6" t="s">
        <v>182</v>
      </c>
      <c r="D45" s="7" t="s">
        <v>183</v>
      </c>
      <c r="E45" s="8" t="s">
        <v>184</v>
      </c>
      <c r="F45" s="5" t="s">
        <v>185</v>
      </c>
      <c r="G45" s="5" t="s">
        <v>183</v>
      </c>
      <c r="H45" s="42"/>
      <c r="I45" s="42"/>
      <c r="J45" s="5" t="s">
        <v>186</v>
      </c>
      <c r="K45" s="12" t="s">
        <v>181</v>
      </c>
      <c r="L45" s="12" t="s">
        <v>6</v>
      </c>
      <c r="M45" s="12">
        <v>18</v>
      </c>
      <c r="N45" s="13"/>
      <c r="O45" s="11">
        <v>5.4</v>
      </c>
      <c r="P45" s="11">
        <f t="shared" si="4"/>
        <v>5.4</v>
      </c>
      <c r="Q45" s="11">
        <v>3.16</v>
      </c>
      <c r="R45" s="11">
        <f t="shared" si="5"/>
        <v>3.16</v>
      </c>
      <c r="S45" s="11">
        <f t="shared" si="6"/>
        <v>1.2640000000000002</v>
      </c>
      <c r="T45" s="11">
        <f t="shared" si="7"/>
        <v>1.2640000000000002</v>
      </c>
      <c r="V45" s="14" t="s">
        <v>187</v>
      </c>
    </row>
    <row r="46" spans="1:22" ht="30" x14ac:dyDescent="0.25">
      <c r="A46" s="5">
        <v>46</v>
      </c>
      <c r="B46" s="5">
        <v>1</v>
      </c>
      <c r="C46" s="6" t="s">
        <v>188</v>
      </c>
      <c r="D46" s="7">
        <v>484060003</v>
      </c>
      <c r="E46" s="8" t="s">
        <v>189</v>
      </c>
      <c r="F46" s="5" t="s">
        <v>190</v>
      </c>
      <c r="G46" s="5">
        <v>484060003</v>
      </c>
      <c r="H46" s="42"/>
      <c r="I46" s="42"/>
      <c r="J46" s="5" t="s">
        <v>186</v>
      </c>
      <c r="K46" s="12" t="s">
        <v>181</v>
      </c>
      <c r="L46" s="12" t="s">
        <v>6</v>
      </c>
      <c r="M46" s="12">
        <v>20</v>
      </c>
      <c r="N46" s="13"/>
      <c r="O46" s="11">
        <v>2.1</v>
      </c>
      <c r="P46" s="11">
        <f t="shared" si="4"/>
        <v>2.1</v>
      </c>
      <c r="Q46" s="11">
        <v>1.18</v>
      </c>
      <c r="R46" s="11">
        <f t="shared" si="5"/>
        <v>1.18</v>
      </c>
      <c r="S46" s="11">
        <f t="shared" si="6"/>
        <v>0.47199999999999998</v>
      </c>
      <c r="T46" s="11">
        <f t="shared" si="7"/>
        <v>0.47199999999999998</v>
      </c>
    </row>
    <row r="47" spans="1:22" ht="30" x14ac:dyDescent="0.25">
      <c r="A47" s="5">
        <v>47</v>
      </c>
      <c r="B47" s="5">
        <v>1</v>
      </c>
      <c r="C47" s="6" t="s">
        <v>191</v>
      </c>
      <c r="D47" s="7" t="s">
        <v>192</v>
      </c>
      <c r="E47" s="8" t="s">
        <v>193</v>
      </c>
      <c r="F47" s="5" t="s">
        <v>194</v>
      </c>
      <c r="G47" s="5" t="s">
        <v>192</v>
      </c>
      <c r="H47" s="42">
        <v>69307101081</v>
      </c>
      <c r="I47" s="42" t="s">
        <v>528</v>
      </c>
      <c r="J47" s="5" t="s">
        <v>86</v>
      </c>
      <c r="K47" s="12" t="s">
        <v>181</v>
      </c>
      <c r="L47" s="12" t="s">
        <v>6</v>
      </c>
      <c r="M47" s="12">
        <v>9</v>
      </c>
      <c r="N47" s="13"/>
      <c r="O47" s="11">
        <v>3.08</v>
      </c>
      <c r="P47" s="11">
        <f t="shared" si="4"/>
        <v>3.08</v>
      </c>
      <c r="Q47" s="11">
        <v>1.59</v>
      </c>
      <c r="R47" s="11">
        <f t="shared" si="5"/>
        <v>1.59</v>
      </c>
      <c r="S47" s="11">
        <f t="shared" si="6"/>
        <v>0.63600000000000012</v>
      </c>
      <c r="T47" s="11">
        <f t="shared" si="7"/>
        <v>0.63600000000000012</v>
      </c>
    </row>
    <row r="48" spans="1:22" x14ac:dyDescent="0.25">
      <c r="A48" s="5">
        <v>48</v>
      </c>
      <c r="B48" s="5">
        <v>1</v>
      </c>
      <c r="C48" s="6" t="s">
        <v>195</v>
      </c>
      <c r="D48" s="7" t="s">
        <v>196</v>
      </c>
      <c r="E48" s="8" t="s">
        <v>197</v>
      </c>
      <c r="F48" s="5" t="s">
        <v>198</v>
      </c>
      <c r="G48" s="5" t="s">
        <v>196</v>
      </c>
      <c r="H48" s="42"/>
      <c r="I48" s="42"/>
      <c r="J48" s="5" t="s">
        <v>199</v>
      </c>
      <c r="K48" s="12" t="s">
        <v>181</v>
      </c>
      <c r="L48" s="12" t="s">
        <v>6</v>
      </c>
      <c r="M48" s="12">
        <v>10</v>
      </c>
      <c r="N48" s="13"/>
      <c r="O48" s="11">
        <v>1.28</v>
      </c>
      <c r="P48" s="11">
        <f t="shared" si="4"/>
        <v>1.28</v>
      </c>
      <c r="Q48" s="11">
        <v>0.7</v>
      </c>
      <c r="R48" s="11">
        <f t="shared" si="5"/>
        <v>0.7</v>
      </c>
      <c r="S48" s="11">
        <f t="shared" si="6"/>
        <v>0.27999999999999997</v>
      </c>
      <c r="T48" s="11">
        <f t="shared" si="7"/>
        <v>0.27999999999999997</v>
      </c>
    </row>
    <row r="49" spans="1:20" x14ac:dyDescent="0.25">
      <c r="A49" s="5">
        <v>49</v>
      </c>
      <c r="B49" s="5">
        <v>1</v>
      </c>
      <c r="C49" s="6" t="s">
        <v>200</v>
      </c>
      <c r="D49" s="7" t="s">
        <v>201</v>
      </c>
      <c r="E49" s="8" t="s">
        <v>202</v>
      </c>
      <c r="F49" s="5" t="s">
        <v>194</v>
      </c>
      <c r="G49" s="7" t="s">
        <v>201</v>
      </c>
      <c r="H49" s="43"/>
      <c r="I49" s="43"/>
      <c r="J49" s="5" t="s">
        <v>86</v>
      </c>
      <c r="K49" s="12" t="s">
        <v>181</v>
      </c>
      <c r="L49" s="12" t="s">
        <v>6</v>
      </c>
      <c r="M49" s="12">
        <v>15</v>
      </c>
      <c r="N49" s="13"/>
      <c r="O49" s="11">
        <v>1.86</v>
      </c>
      <c r="P49" s="11">
        <f t="shared" si="4"/>
        <v>1.86</v>
      </c>
      <c r="Q49" s="11">
        <v>1.1299999999999999</v>
      </c>
      <c r="R49" s="11">
        <f t="shared" si="5"/>
        <v>1.1299999999999999</v>
      </c>
      <c r="S49" s="11">
        <f t="shared" si="6"/>
        <v>0.45199999999999996</v>
      </c>
      <c r="T49" s="11">
        <f t="shared" si="7"/>
        <v>0.45199999999999996</v>
      </c>
    </row>
    <row r="50" spans="1:20" ht="30" x14ac:dyDescent="0.25">
      <c r="A50" s="5">
        <v>50</v>
      </c>
      <c r="B50" s="5">
        <v>1</v>
      </c>
      <c r="C50" s="6" t="s">
        <v>203</v>
      </c>
      <c r="D50" s="7" t="s">
        <v>204</v>
      </c>
      <c r="E50" s="8" t="s">
        <v>205</v>
      </c>
      <c r="F50" s="5" t="s">
        <v>185</v>
      </c>
      <c r="G50" s="7" t="s">
        <v>204</v>
      </c>
      <c r="H50" s="43"/>
      <c r="I50" s="43"/>
      <c r="J50" s="5" t="s">
        <v>186</v>
      </c>
      <c r="K50" s="12" t="s">
        <v>181</v>
      </c>
      <c r="L50" s="12" t="s">
        <v>22</v>
      </c>
      <c r="M50" s="12">
        <v>14</v>
      </c>
      <c r="N50" s="13"/>
      <c r="O50" s="11">
        <v>8.23</v>
      </c>
      <c r="P50" s="11">
        <f t="shared" si="4"/>
        <v>8.23</v>
      </c>
      <c r="Q50" s="11">
        <v>4.9000000000000004</v>
      </c>
      <c r="R50" s="11">
        <f t="shared" si="5"/>
        <v>4.9000000000000004</v>
      </c>
      <c r="S50" s="11">
        <f t="shared" si="6"/>
        <v>1.9600000000000002</v>
      </c>
      <c r="T50" s="11">
        <f t="shared" si="7"/>
        <v>1.9600000000000002</v>
      </c>
    </row>
    <row r="51" spans="1:20" x14ac:dyDescent="0.25">
      <c r="A51" s="5">
        <v>51</v>
      </c>
      <c r="B51" s="5">
        <v>1</v>
      </c>
      <c r="C51" s="6" t="s">
        <v>206</v>
      </c>
      <c r="D51" s="7" t="s">
        <v>207</v>
      </c>
      <c r="E51" s="8" t="s">
        <v>208</v>
      </c>
      <c r="F51" s="5" t="s">
        <v>209</v>
      </c>
      <c r="G51" s="7" t="s">
        <v>207</v>
      </c>
      <c r="H51" s="43"/>
      <c r="I51" s="43"/>
      <c r="J51" s="5" t="s">
        <v>210</v>
      </c>
      <c r="K51" s="12" t="s">
        <v>181</v>
      </c>
      <c r="L51" s="5" t="s">
        <v>6</v>
      </c>
      <c r="M51" s="5">
        <v>12</v>
      </c>
      <c r="N51" s="8"/>
      <c r="O51" s="11">
        <v>3.56</v>
      </c>
      <c r="P51" s="11">
        <f t="shared" si="4"/>
        <v>3.56</v>
      </c>
      <c r="Q51" s="11">
        <v>1.92</v>
      </c>
      <c r="R51" s="11">
        <f t="shared" si="5"/>
        <v>1.92</v>
      </c>
      <c r="S51" s="11">
        <f t="shared" si="6"/>
        <v>0.76800000000000002</v>
      </c>
      <c r="T51" s="11">
        <f t="shared" si="7"/>
        <v>0.76800000000000002</v>
      </c>
    </row>
    <row r="52" spans="1:20" x14ac:dyDescent="0.25">
      <c r="A52" s="5">
        <v>52</v>
      </c>
      <c r="B52" s="5">
        <v>1</v>
      </c>
      <c r="C52" s="6" t="s">
        <v>211</v>
      </c>
      <c r="D52" s="7" t="s">
        <v>212</v>
      </c>
      <c r="E52" s="8" t="s">
        <v>213</v>
      </c>
      <c r="F52" s="5" t="s">
        <v>214</v>
      </c>
      <c r="G52" s="5" t="s">
        <v>215</v>
      </c>
      <c r="H52" s="42"/>
      <c r="I52" s="42"/>
      <c r="J52" s="5" t="s">
        <v>86</v>
      </c>
      <c r="K52" s="12" t="s">
        <v>181</v>
      </c>
      <c r="L52" s="12" t="s">
        <v>6</v>
      </c>
      <c r="M52" s="12">
        <v>14</v>
      </c>
      <c r="N52" s="13"/>
      <c r="O52" s="11">
        <v>0.9</v>
      </c>
      <c r="P52" s="11">
        <f t="shared" si="4"/>
        <v>0.9</v>
      </c>
      <c r="Q52" s="11">
        <v>0.75</v>
      </c>
      <c r="R52" s="11">
        <f t="shared" si="5"/>
        <v>0.75</v>
      </c>
      <c r="S52" s="11">
        <f t="shared" si="6"/>
        <v>0.30000000000000004</v>
      </c>
      <c r="T52" s="11">
        <f t="shared" si="7"/>
        <v>0.30000000000000004</v>
      </c>
    </row>
    <row r="53" spans="1:20" ht="45" x14ac:dyDescent="0.25">
      <c r="A53" s="5">
        <v>53</v>
      </c>
      <c r="B53" s="5">
        <v>1</v>
      </c>
      <c r="C53" s="6" t="s">
        <v>216</v>
      </c>
      <c r="D53" s="7" t="s">
        <v>217</v>
      </c>
      <c r="E53" s="8" t="s">
        <v>218</v>
      </c>
      <c r="F53" s="5" t="s">
        <v>219</v>
      </c>
      <c r="G53" s="5" t="s">
        <v>220</v>
      </c>
      <c r="H53" s="42"/>
      <c r="I53" s="42"/>
      <c r="J53" s="5" t="s">
        <v>86</v>
      </c>
      <c r="K53" s="12" t="s">
        <v>181</v>
      </c>
      <c r="L53" s="12" t="s">
        <v>6</v>
      </c>
      <c r="M53" s="12">
        <v>12</v>
      </c>
      <c r="N53" s="13" t="s">
        <v>216</v>
      </c>
      <c r="O53" s="11">
        <v>1.22</v>
      </c>
      <c r="P53" s="11">
        <f t="shared" si="4"/>
        <v>1.22</v>
      </c>
      <c r="Q53" s="11">
        <v>0.67</v>
      </c>
      <c r="R53" s="11">
        <f t="shared" si="5"/>
        <v>0.67</v>
      </c>
      <c r="S53" s="11">
        <f t="shared" si="6"/>
        <v>0.26800000000000002</v>
      </c>
      <c r="T53" s="11">
        <f t="shared" si="7"/>
        <v>0.26800000000000002</v>
      </c>
    </row>
    <row r="54" spans="1:20" s="25" customFormat="1" x14ac:dyDescent="0.25">
      <c r="A54" s="15">
        <v>54</v>
      </c>
      <c r="B54" s="16">
        <v>1</v>
      </c>
      <c r="C54" s="17" t="s">
        <v>221</v>
      </c>
      <c r="D54" s="18" t="s">
        <v>222</v>
      </c>
      <c r="E54" s="19" t="s">
        <v>222</v>
      </c>
      <c r="F54" s="20" t="s">
        <v>222</v>
      </c>
      <c r="G54" s="20" t="s">
        <v>222</v>
      </c>
      <c r="H54" s="44"/>
      <c r="I54" s="44"/>
      <c r="J54" s="20" t="s">
        <v>222</v>
      </c>
      <c r="K54" s="21" t="s">
        <v>222</v>
      </c>
      <c r="L54" s="22" t="s">
        <v>6</v>
      </c>
      <c r="M54" s="22"/>
      <c r="N54" s="23"/>
      <c r="O54" s="24"/>
      <c r="P54" s="24"/>
      <c r="Q54" s="24"/>
      <c r="R54" s="24"/>
      <c r="S54" s="24"/>
      <c r="T54" s="24"/>
    </row>
    <row r="55" spans="1:20" x14ac:dyDescent="0.25">
      <c r="A55" s="6">
        <v>55</v>
      </c>
      <c r="B55" s="5">
        <v>1</v>
      </c>
      <c r="C55" s="8" t="s">
        <v>223</v>
      </c>
      <c r="D55" s="7" t="s">
        <v>224</v>
      </c>
      <c r="E55" s="8" t="s">
        <v>225</v>
      </c>
      <c r="F55" s="5" t="s">
        <v>185</v>
      </c>
      <c r="G55" s="5" t="s">
        <v>226</v>
      </c>
      <c r="H55" s="42"/>
      <c r="I55" s="42"/>
      <c r="J55" s="5" t="s">
        <v>186</v>
      </c>
      <c r="K55" s="12" t="s">
        <v>227</v>
      </c>
      <c r="L55" s="12" t="s">
        <v>6</v>
      </c>
      <c r="M55" s="12">
        <v>14</v>
      </c>
      <c r="N55" s="13"/>
      <c r="O55" s="11">
        <v>4.8499999999999996</v>
      </c>
      <c r="P55" s="11">
        <f t="shared" ref="P55:P96" si="8">O55*B55</f>
        <v>4.8499999999999996</v>
      </c>
      <c r="Q55" s="11">
        <v>2.8118400000000001</v>
      </c>
      <c r="R55" s="11">
        <f t="shared" ref="R55:R96" si="9">Q55*B55</f>
        <v>2.8118400000000001</v>
      </c>
      <c r="S55" s="11">
        <f t="shared" ref="S55:S96" si="10">Q55*0.4</f>
        <v>1.1247360000000002</v>
      </c>
      <c r="T55" s="11">
        <f t="shared" ref="T55:T86" si="11">S55*B55</f>
        <v>1.1247360000000002</v>
      </c>
    </row>
    <row r="56" spans="1:20" x14ac:dyDescent="0.25">
      <c r="A56" s="6">
        <v>56</v>
      </c>
      <c r="B56" s="5">
        <v>3</v>
      </c>
      <c r="C56" s="6" t="s">
        <v>228</v>
      </c>
      <c r="D56" s="7" t="s">
        <v>229</v>
      </c>
      <c r="E56" s="8" t="s">
        <v>230</v>
      </c>
      <c r="F56" s="5" t="s">
        <v>59</v>
      </c>
      <c r="G56" s="5" t="s">
        <v>231</v>
      </c>
      <c r="H56" s="42"/>
      <c r="I56" s="42"/>
      <c r="J56" s="5">
        <v>603</v>
      </c>
      <c r="K56" s="12" t="s">
        <v>232</v>
      </c>
      <c r="L56" s="12" t="s">
        <v>6</v>
      </c>
      <c r="M56" s="12">
        <v>22</v>
      </c>
      <c r="N56" s="13"/>
      <c r="O56" s="11">
        <v>0.8</v>
      </c>
      <c r="P56" s="11">
        <f t="shared" si="8"/>
        <v>2.4000000000000004</v>
      </c>
      <c r="Q56" s="11">
        <v>0.36</v>
      </c>
      <c r="R56" s="11">
        <f t="shared" si="9"/>
        <v>1.08</v>
      </c>
      <c r="S56" s="11">
        <f t="shared" si="10"/>
        <v>0.14399999999999999</v>
      </c>
      <c r="T56" s="11">
        <f t="shared" si="11"/>
        <v>0.43199999999999994</v>
      </c>
    </row>
    <row r="57" spans="1:20" x14ac:dyDescent="0.25">
      <c r="A57" s="6">
        <v>57</v>
      </c>
      <c r="B57" s="5">
        <v>3</v>
      </c>
      <c r="C57" s="6" t="s">
        <v>233</v>
      </c>
      <c r="D57" s="7" t="s">
        <v>234</v>
      </c>
      <c r="E57" s="8" t="s">
        <v>235</v>
      </c>
      <c r="F57" s="5" t="s">
        <v>236</v>
      </c>
      <c r="G57" s="5" t="s">
        <v>234</v>
      </c>
      <c r="H57" s="42"/>
      <c r="I57" s="42"/>
      <c r="J57" s="5" t="s">
        <v>237</v>
      </c>
      <c r="K57" s="12" t="s">
        <v>232</v>
      </c>
      <c r="L57" s="12" t="s">
        <v>6</v>
      </c>
      <c r="M57" s="12">
        <v>18</v>
      </c>
      <c r="N57" s="13"/>
      <c r="O57" s="11">
        <v>0.92</v>
      </c>
      <c r="P57" s="11">
        <f t="shared" si="8"/>
        <v>2.7600000000000002</v>
      </c>
      <c r="Q57" s="11">
        <v>0.54</v>
      </c>
      <c r="R57" s="11">
        <f t="shared" si="9"/>
        <v>1.62</v>
      </c>
      <c r="S57" s="11">
        <f t="shared" si="10"/>
        <v>0.21600000000000003</v>
      </c>
      <c r="T57" s="11">
        <f t="shared" si="11"/>
        <v>0.64800000000000013</v>
      </c>
    </row>
    <row r="58" spans="1:20" x14ac:dyDescent="0.25">
      <c r="A58" s="6">
        <v>58</v>
      </c>
      <c r="B58" s="5">
        <v>6</v>
      </c>
      <c r="C58" s="6" t="s">
        <v>238</v>
      </c>
      <c r="D58" s="7" t="s">
        <v>239</v>
      </c>
      <c r="E58" s="8" t="s">
        <v>240</v>
      </c>
      <c r="F58" s="5" t="s">
        <v>59</v>
      </c>
      <c r="G58" s="5" t="s">
        <v>241</v>
      </c>
      <c r="H58" s="42"/>
      <c r="I58" s="42"/>
      <c r="J58" s="5">
        <v>603</v>
      </c>
      <c r="K58" s="12" t="s">
        <v>232</v>
      </c>
      <c r="L58" s="12" t="s">
        <v>6</v>
      </c>
      <c r="M58" s="12">
        <v>11</v>
      </c>
      <c r="N58" s="13"/>
      <c r="O58" s="11">
        <v>0.2</v>
      </c>
      <c r="P58" s="11">
        <f t="shared" si="8"/>
        <v>1.2000000000000002</v>
      </c>
      <c r="Q58" s="11">
        <v>0.06</v>
      </c>
      <c r="R58" s="11">
        <f t="shared" si="9"/>
        <v>0.36</v>
      </c>
      <c r="S58" s="11">
        <f t="shared" si="10"/>
        <v>2.4E-2</v>
      </c>
      <c r="T58" s="11">
        <f t="shared" si="11"/>
        <v>0.14400000000000002</v>
      </c>
    </row>
    <row r="59" spans="1:20" x14ac:dyDescent="0.25">
      <c r="A59" s="6">
        <v>59</v>
      </c>
      <c r="B59" s="5">
        <v>2</v>
      </c>
      <c r="C59" s="6" t="s">
        <v>242</v>
      </c>
      <c r="D59" s="7" t="s">
        <v>243</v>
      </c>
      <c r="E59" s="8" t="s">
        <v>244</v>
      </c>
      <c r="F59" s="5" t="s">
        <v>243</v>
      </c>
      <c r="G59" s="5" t="s">
        <v>243</v>
      </c>
      <c r="H59" s="42" t="s">
        <v>532</v>
      </c>
      <c r="I59" s="42" t="s">
        <v>531</v>
      </c>
      <c r="J59" s="5" t="s">
        <v>245</v>
      </c>
      <c r="K59" s="12" t="s">
        <v>232</v>
      </c>
      <c r="L59" s="12" t="s">
        <v>6</v>
      </c>
      <c r="M59" s="12">
        <v>15</v>
      </c>
      <c r="N59" s="13"/>
      <c r="O59" s="11">
        <v>0.57999999999999996</v>
      </c>
      <c r="P59" s="11">
        <f t="shared" si="8"/>
        <v>1.1599999999999999</v>
      </c>
      <c r="Q59" s="11">
        <v>0.23</v>
      </c>
      <c r="R59" s="11">
        <f t="shared" si="9"/>
        <v>0.46</v>
      </c>
      <c r="S59" s="11">
        <f t="shared" si="10"/>
        <v>9.2000000000000012E-2</v>
      </c>
      <c r="T59" s="11">
        <f t="shared" si="11"/>
        <v>0.18400000000000002</v>
      </c>
    </row>
    <row r="60" spans="1:20" x14ac:dyDescent="0.25">
      <c r="A60" s="6">
        <v>60</v>
      </c>
      <c r="B60" s="5">
        <v>1</v>
      </c>
      <c r="C60" s="6" t="s">
        <v>246</v>
      </c>
      <c r="D60" s="7" t="s">
        <v>247</v>
      </c>
      <c r="E60" s="8" t="s">
        <v>244</v>
      </c>
      <c r="F60" s="5" t="s">
        <v>59</v>
      </c>
      <c r="G60" s="5" t="s">
        <v>247</v>
      </c>
      <c r="H60" s="42"/>
      <c r="I60" s="42"/>
      <c r="J60" s="5" t="s">
        <v>86</v>
      </c>
      <c r="K60" s="12" t="s">
        <v>232</v>
      </c>
      <c r="L60" s="12" t="s">
        <v>6</v>
      </c>
      <c r="M60" s="12">
        <v>8</v>
      </c>
      <c r="N60" s="13"/>
      <c r="O60" s="11">
        <v>0.15</v>
      </c>
      <c r="P60" s="11">
        <f t="shared" si="8"/>
        <v>0.15</v>
      </c>
      <c r="Q60" s="11">
        <v>0.06</v>
      </c>
      <c r="R60" s="11">
        <f t="shared" si="9"/>
        <v>0.06</v>
      </c>
      <c r="S60" s="11">
        <f t="shared" si="10"/>
        <v>2.4E-2</v>
      </c>
      <c r="T60" s="11">
        <f t="shared" si="11"/>
        <v>2.4E-2</v>
      </c>
    </row>
    <row r="61" spans="1:20" ht="30" x14ac:dyDescent="0.25">
      <c r="A61" s="6">
        <v>61</v>
      </c>
      <c r="B61" s="5">
        <v>2</v>
      </c>
      <c r="C61" s="6" t="s">
        <v>248</v>
      </c>
      <c r="D61" s="7" t="s">
        <v>249</v>
      </c>
      <c r="E61" s="8" t="s">
        <v>250</v>
      </c>
      <c r="F61" s="5" t="s">
        <v>251</v>
      </c>
      <c r="G61" s="5" t="s">
        <v>252</v>
      </c>
      <c r="H61" s="42" t="s">
        <v>533</v>
      </c>
      <c r="I61" s="42" t="s">
        <v>534</v>
      </c>
      <c r="J61" s="5" t="s">
        <v>86</v>
      </c>
      <c r="K61" s="12" t="s">
        <v>232</v>
      </c>
      <c r="L61" s="12" t="s">
        <v>6</v>
      </c>
      <c r="M61" s="12">
        <v>7</v>
      </c>
      <c r="N61" s="13"/>
      <c r="O61" s="11">
        <v>1.85</v>
      </c>
      <c r="P61" s="11">
        <f t="shared" si="8"/>
        <v>3.7</v>
      </c>
      <c r="Q61" s="11">
        <v>0.877</v>
      </c>
      <c r="R61" s="11">
        <f t="shared" si="9"/>
        <v>1.754</v>
      </c>
      <c r="S61" s="11">
        <f t="shared" si="10"/>
        <v>0.3508</v>
      </c>
      <c r="T61" s="11">
        <f t="shared" si="11"/>
        <v>0.7016</v>
      </c>
    </row>
    <row r="62" spans="1:20" x14ac:dyDescent="0.25">
      <c r="A62" s="6">
        <v>62</v>
      </c>
      <c r="B62" s="5">
        <v>3</v>
      </c>
      <c r="C62" s="6" t="s">
        <v>253</v>
      </c>
      <c r="D62" s="7" t="s">
        <v>254</v>
      </c>
      <c r="E62" s="8" t="s">
        <v>255</v>
      </c>
      <c r="F62" s="5" t="s">
        <v>59</v>
      </c>
      <c r="G62" s="5" t="s">
        <v>256</v>
      </c>
      <c r="H62" s="42"/>
      <c r="I62" s="42"/>
      <c r="J62" s="5">
        <v>402</v>
      </c>
      <c r="K62" s="12" t="s">
        <v>232</v>
      </c>
      <c r="L62" s="12" t="s">
        <v>6</v>
      </c>
      <c r="M62" s="12">
        <v>11</v>
      </c>
      <c r="N62" s="13" t="s">
        <v>257</v>
      </c>
      <c r="O62" s="11">
        <v>0.24</v>
      </c>
      <c r="P62" s="11">
        <f t="shared" si="8"/>
        <v>0.72</v>
      </c>
      <c r="Q62" s="11">
        <v>0.99</v>
      </c>
      <c r="R62" s="11">
        <f t="shared" si="9"/>
        <v>2.9699999999999998</v>
      </c>
      <c r="S62" s="11">
        <f t="shared" si="10"/>
        <v>0.39600000000000002</v>
      </c>
      <c r="T62" s="11">
        <f t="shared" si="11"/>
        <v>1.1880000000000002</v>
      </c>
    </row>
    <row r="63" spans="1:20" x14ac:dyDescent="0.25">
      <c r="A63" s="6">
        <v>63</v>
      </c>
      <c r="B63" s="5">
        <v>2</v>
      </c>
      <c r="C63" s="6" t="s">
        <v>258</v>
      </c>
      <c r="D63" s="7" t="s">
        <v>259</v>
      </c>
      <c r="E63" s="8" t="s">
        <v>260</v>
      </c>
      <c r="F63" s="5" t="s">
        <v>59</v>
      </c>
      <c r="G63" s="5" t="s">
        <v>261</v>
      </c>
      <c r="H63" s="42"/>
      <c r="I63" s="42"/>
      <c r="J63" s="5">
        <v>603</v>
      </c>
      <c r="K63" s="12" t="s">
        <v>232</v>
      </c>
      <c r="L63" s="12" t="s">
        <v>6</v>
      </c>
      <c r="M63" s="12">
        <v>11</v>
      </c>
      <c r="N63" s="13"/>
      <c r="O63" s="11">
        <v>0.24</v>
      </c>
      <c r="P63" s="11">
        <f t="shared" si="8"/>
        <v>0.48</v>
      </c>
      <c r="Q63" s="11">
        <v>0.99</v>
      </c>
      <c r="R63" s="11">
        <f t="shared" si="9"/>
        <v>1.98</v>
      </c>
      <c r="S63" s="11">
        <f t="shared" si="10"/>
        <v>0.39600000000000002</v>
      </c>
      <c r="T63" s="11">
        <f t="shared" si="11"/>
        <v>0.79200000000000004</v>
      </c>
    </row>
    <row r="64" spans="1:20" x14ac:dyDescent="0.25">
      <c r="A64" s="6">
        <v>64</v>
      </c>
      <c r="B64" s="5">
        <v>1</v>
      </c>
      <c r="C64" s="6" t="s">
        <v>262</v>
      </c>
      <c r="D64" s="7" t="s">
        <v>263</v>
      </c>
      <c r="E64" s="8" t="s">
        <v>264</v>
      </c>
      <c r="F64" s="5" t="s">
        <v>59</v>
      </c>
      <c r="G64" s="5" t="s">
        <v>265</v>
      </c>
      <c r="H64" s="42"/>
      <c r="I64" s="42"/>
      <c r="J64" s="5">
        <v>1806</v>
      </c>
      <c r="K64" s="12" t="s">
        <v>232</v>
      </c>
      <c r="L64" s="12" t="s">
        <v>6</v>
      </c>
      <c r="M64" s="12">
        <v>12</v>
      </c>
      <c r="N64" s="13"/>
      <c r="O64" s="11">
        <v>0.35</v>
      </c>
      <c r="P64" s="11">
        <f t="shared" si="8"/>
        <v>0.35</v>
      </c>
      <c r="Q64" s="11">
        <v>0.12</v>
      </c>
      <c r="R64" s="11">
        <f t="shared" si="9"/>
        <v>0.12</v>
      </c>
      <c r="S64" s="11">
        <f t="shared" si="10"/>
        <v>4.8000000000000001E-2</v>
      </c>
      <c r="T64" s="11">
        <f t="shared" si="11"/>
        <v>4.8000000000000001E-2</v>
      </c>
    </row>
    <row r="65" spans="1:20" x14ac:dyDescent="0.25">
      <c r="A65" s="6">
        <v>65</v>
      </c>
      <c r="B65" s="5">
        <v>2</v>
      </c>
      <c r="C65" s="6" t="s">
        <v>266</v>
      </c>
      <c r="D65" s="7" t="s">
        <v>267</v>
      </c>
      <c r="E65" s="8" t="s">
        <v>268</v>
      </c>
      <c r="F65" s="5" t="s">
        <v>269</v>
      </c>
      <c r="G65" s="5" t="s">
        <v>267</v>
      </c>
      <c r="H65" s="42"/>
      <c r="I65" s="42"/>
      <c r="J65" s="5" t="s">
        <v>270</v>
      </c>
      <c r="K65" s="12" t="s">
        <v>271</v>
      </c>
      <c r="L65" s="12" t="s">
        <v>6</v>
      </c>
      <c r="M65" s="12">
        <v>45</v>
      </c>
      <c r="N65" s="13"/>
      <c r="O65" s="11">
        <v>0.16</v>
      </c>
      <c r="P65" s="11">
        <f t="shared" si="8"/>
        <v>0.32</v>
      </c>
      <c r="Q65" s="11">
        <v>0.33</v>
      </c>
      <c r="R65" s="11">
        <f t="shared" si="9"/>
        <v>0.66</v>
      </c>
      <c r="S65" s="11">
        <f t="shared" si="10"/>
        <v>0.13200000000000001</v>
      </c>
      <c r="T65" s="11">
        <f t="shared" si="11"/>
        <v>0.26400000000000001</v>
      </c>
    </row>
    <row r="66" spans="1:20" x14ac:dyDescent="0.25">
      <c r="A66" s="6">
        <v>66</v>
      </c>
      <c r="B66" s="5">
        <v>1</v>
      </c>
      <c r="C66" s="6" t="s">
        <v>272</v>
      </c>
      <c r="D66" s="7" t="s">
        <v>273</v>
      </c>
      <c r="E66" s="8" t="s">
        <v>274</v>
      </c>
      <c r="F66" s="5" t="s">
        <v>130</v>
      </c>
      <c r="G66" s="5" t="s">
        <v>273</v>
      </c>
      <c r="H66" s="42"/>
      <c r="I66" s="42"/>
      <c r="J66" s="5" t="s">
        <v>275</v>
      </c>
      <c r="K66" s="12" t="s">
        <v>271</v>
      </c>
      <c r="L66" s="12" t="s">
        <v>6</v>
      </c>
      <c r="M66" s="12">
        <v>26</v>
      </c>
      <c r="N66" s="13"/>
      <c r="O66" s="11">
        <v>0.34</v>
      </c>
      <c r="P66" s="11">
        <f t="shared" si="8"/>
        <v>0.34</v>
      </c>
      <c r="Q66" s="11">
        <v>6.6000000000000003E-2</v>
      </c>
      <c r="R66" s="11">
        <f t="shared" si="9"/>
        <v>6.6000000000000003E-2</v>
      </c>
      <c r="S66" s="11">
        <f t="shared" si="10"/>
        <v>2.6400000000000003E-2</v>
      </c>
      <c r="T66" s="11">
        <f t="shared" si="11"/>
        <v>2.6400000000000003E-2</v>
      </c>
    </row>
    <row r="67" spans="1:20" ht="45" x14ac:dyDescent="0.25">
      <c r="A67" s="6">
        <v>67</v>
      </c>
      <c r="B67" s="5">
        <v>18</v>
      </c>
      <c r="C67" s="6" t="s">
        <v>276</v>
      </c>
      <c r="D67" s="7" t="s">
        <v>277</v>
      </c>
      <c r="E67" s="8" t="s">
        <v>278</v>
      </c>
      <c r="F67" s="5" t="s">
        <v>279</v>
      </c>
      <c r="G67" s="5" t="s">
        <v>280</v>
      </c>
      <c r="H67" s="42"/>
      <c r="I67" s="42"/>
      <c r="J67" s="5">
        <v>402</v>
      </c>
      <c r="K67" s="12" t="s">
        <v>281</v>
      </c>
      <c r="L67" s="12" t="s">
        <v>22</v>
      </c>
      <c r="M67" s="12">
        <v>18</v>
      </c>
      <c r="N67" s="13" t="s">
        <v>282</v>
      </c>
      <c r="O67" s="11">
        <v>0.1</v>
      </c>
      <c r="P67" s="11">
        <f t="shared" si="8"/>
        <v>1.8</v>
      </c>
      <c r="Q67" s="11">
        <v>3.0000000000000001E-3</v>
      </c>
      <c r="R67" s="11">
        <f t="shared" si="9"/>
        <v>5.3999999999999999E-2</v>
      </c>
      <c r="S67" s="11">
        <f t="shared" si="10"/>
        <v>1.2000000000000001E-3</v>
      </c>
      <c r="T67" s="11">
        <f t="shared" si="11"/>
        <v>2.1600000000000001E-2</v>
      </c>
    </row>
    <row r="68" spans="1:20" x14ac:dyDescent="0.25">
      <c r="A68" s="6">
        <v>68</v>
      </c>
      <c r="B68" s="5">
        <v>8</v>
      </c>
      <c r="C68" s="6" t="s">
        <v>283</v>
      </c>
      <c r="D68" s="7" t="s">
        <v>284</v>
      </c>
      <c r="E68" s="8" t="s">
        <v>285</v>
      </c>
      <c r="F68" s="5" t="s">
        <v>286</v>
      </c>
      <c r="G68" s="5" t="s">
        <v>287</v>
      </c>
      <c r="H68" s="42"/>
      <c r="I68" s="42"/>
      <c r="J68" s="5">
        <v>603</v>
      </c>
      <c r="K68" s="12" t="s">
        <v>281</v>
      </c>
      <c r="L68" s="12" t="s">
        <v>6</v>
      </c>
      <c r="M68" s="12">
        <v>29</v>
      </c>
      <c r="N68" s="13"/>
      <c r="O68" s="11">
        <v>0.1</v>
      </c>
      <c r="P68" s="11">
        <f t="shared" si="8"/>
        <v>0.8</v>
      </c>
      <c r="Q68" s="11">
        <v>3.0000000000000001E-3</v>
      </c>
      <c r="R68" s="11">
        <f t="shared" si="9"/>
        <v>2.4E-2</v>
      </c>
      <c r="S68" s="11">
        <f t="shared" si="10"/>
        <v>1.2000000000000001E-3</v>
      </c>
      <c r="T68" s="11">
        <f t="shared" si="11"/>
        <v>9.6000000000000009E-3</v>
      </c>
    </row>
    <row r="69" spans="1:20" x14ac:dyDescent="0.25">
      <c r="A69" s="5">
        <v>69</v>
      </c>
      <c r="B69" s="5">
        <v>13</v>
      </c>
      <c r="C69" s="6" t="s">
        <v>288</v>
      </c>
      <c r="D69" s="7" t="s">
        <v>289</v>
      </c>
      <c r="E69" s="8" t="s">
        <v>290</v>
      </c>
      <c r="F69" s="5" t="s">
        <v>279</v>
      </c>
      <c r="G69" s="5" t="s">
        <v>291</v>
      </c>
      <c r="H69" s="42"/>
      <c r="I69" s="42"/>
      <c r="J69" s="5">
        <v>603</v>
      </c>
      <c r="K69" s="12" t="s">
        <v>281</v>
      </c>
      <c r="L69" s="12" t="s">
        <v>6</v>
      </c>
      <c r="M69" s="12">
        <v>24</v>
      </c>
      <c r="N69" s="13" t="s">
        <v>292</v>
      </c>
      <c r="O69" s="11">
        <v>0.31</v>
      </c>
      <c r="P69" s="11">
        <f t="shared" si="8"/>
        <v>4.03</v>
      </c>
      <c r="Q69" s="11">
        <v>4.2000000000000003E-2</v>
      </c>
      <c r="R69" s="11">
        <f t="shared" si="9"/>
        <v>0.54600000000000004</v>
      </c>
      <c r="S69" s="11">
        <f t="shared" si="10"/>
        <v>1.6800000000000002E-2</v>
      </c>
      <c r="T69" s="11">
        <f t="shared" si="11"/>
        <v>0.21840000000000004</v>
      </c>
    </row>
    <row r="70" spans="1:20" ht="30" x14ac:dyDescent="0.25">
      <c r="A70" s="5">
        <v>70</v>
      </c>
      <c r="B70" s="5">
        <v>22</v>
      </c>
      <c r="C70" s="6" t="s">
        <v>293</v>
      </c>
      <c r="D70" s="7" t="s">
        <v>294</v>
      </c>
      <c r="E70" s="8" t="s">
        <v>295</v>
      </c>
      <c r="F70" s="5" t="s">
        <v>286</v>
      </c>
      <c r="G70" s="5" t="s">
        <v>296</v>
      </c>
      <c r="H70" s="42"/>
      <c r="I70" s="42"/>
      <c r="J70" s="5">
        <v>1206</v>
      </c>
      <c r="K70" s="12" t="s">
        <v>281</v>
      </c>
      <c r="L70" s="12" t="s">
        <v>6</v>
      </c>
      <c r="M70" s="12">
        <v>23</v>
      </c>
      <c r="N70" s="13"/>
      <c r="O70" s="11">
        <v>0.1</v>
      </c>
      <c r="P70" s="11">
        <f t="shared" si="8"/>
        <v>2.2000000000000002</v>
      </c>
      <c r="Q70" s="11">
        <v>1.4E-2</v>
      </c>
      <c r="R70" s="11">
        <f t="shared" si="9"/>
        <v>0.308</v>
      </c>
      <c r="S70" s="11">
        <f t="shared" si="10"/>
        <v>5.6000000000000008E-3</v>
      </c>
      <c r="T70" s="11">
        <f t="shared" si="11"/>
        <v>0.12320000000000002</v>
      </c>
    </row>
    <row r="71" spans="1:20" x14ac:dyDescent="0.25">
      <c r="A71" s="5">
        <v>71</v>
      </c>
      <c r="B71" s="5">
        <v>3</v>
      </c>
      <c r="C71" s="6" t="s">
        <v>297</v>
      </c>
      <c r="D71" s="7" t="s">
        <v>298</v>
      </c>
      <c r="E71" s="8" t="s">
        <v>299</v>
      </c>
      <c r="F71" s="5" t="s">
        <v>300</v>
      </c>
      <c r="G71" s="5" t="s">
        <v>301</v>
      </c>
      <c r="H71" s="42"/>
      <c r="I71" s="42"/>
      <c r="J71" s="5">
        <v>402</v>
      </c>
      <c r="K71" s="12" t="s">
        <v>281</v>
      </c>
      <c r="L71" s="12" t="s">
        <v>6</v>
      </c>
      <c r="M71" s="12">
        <v>16</v>
      </c>
      <c r="N71" s="13" t="s">
        <v>302</v>
      </c>
      <c r="O71" s="11">
        <v>0.1</v>
      </c>
      <c r="P71" s="11">
        <f t="shared" si="8"/>
        <v>0.30000000000000004</v>
      </c>
      <c r="Q71" s="11">
        <v>3.0000000000000001E-3</v>
      </c>
      <c r="R71" s="11">
        <f t="shared" si="9"/>
        <v>9.0000000000000011E-3</v>
      </c>
      <c r="S71" s="11">
        <f t="shared" si="10"/>
        <v>1.2000000000000001E-3</v>
      </c>
      <c r="T71" s="11">
        <f t="shared" si="11"/>
        <v>3.6000000000000003E-3</v>
      </c>
    </row>
    <row r="72" spans="1:20" x14ac:dyDescent="0.25">
      <c r="A72" s="5">
        <v>72</v>
      </c>
      <c r="B72" s="5">
        <v>3</v>
      </c>
      <c r="C72" s="6" t="s">
        <v>303</v>
      </c>
      <c r="D72" s="7" t="s">
        <v>304</v>
      </c>
      <c r="E72" s="8" t="s">
        <v>305</v>
      </c>
      <c r="F72" s="5" t="s">
        <v>300</v>
      </c>
      <c r="G72" s="5" t="s">
        <v>306</v>
      </c>
      <c r="H72" s="42"/>
      <c r="I72" s="42"/>
      <c r="J72" s="5">
        <v>402</v>
      </c>
      <c r="K72" s="12" t="s">
        <v>281</v>
      </c>
      <c r="L72" s="12" t="s">
        <v>6</v>
      </c>
      <c r="M72" s="12">
        <v>16</v>
      </c>
      <c r="N72" s="13"/>
      <c r="O72" s="11">
        <v>0.1</v>
      </c>
      <c r="P72" s="11">
        <f t="shared" si="8"/>
        <v>0.30000000000000004</v>
      </c>
      <c r="Q72" s="11">
        <v>2E-3</v>
      </c>
      <c r="R72" s="11">
        <f t="shared" si="9"/>
        <v>6.0000000000000001E-3</v>
      </c>
      <c r="S72" s="11">
        <f t="shared" si="10"/>
        <v>8.0000000000000004E-4</v>
      </c>
      <c r="T72" s="11">
        <f t="shared" si="11"/>
        <v>2.4000000000000002E-3</v>
      </c>
    </row>
    <row r="73" spans="1:20" x14ac:dyDescent="0.25">
      <c r="A73" s="5">
        <v>73</v>
      </c>
      <c r="B73" s="5">
        <v>1</v>
      </c>
      <c r="C73" s="6" t="s">
        <v>307</v>
      </c>
      <c r="D73" s="7" t="s">
        <v>308</v>
      </c>
      <c r="E73" s="8" t="s">
        <v>309</v>
      </c>
      <c r="F73" s="5" t="s">
        <v>300</v>
      </c>
      <c r="G73" s="5" t="s">
        <v>310</v>
      </c>
      <c r="H73" s="42"/>
      <c r="I73" s="42"/>
      <c r="J73" s="5">
        <v>402</v>
      </c>
      <c r="K73" s="12" t="s">
        <v>281</v>
      </c>
      <c r="L73" s="12" t="s">
        <v>6</v>
      </c>
      <c r="M73" s="12">
        <v>16</v>
      </c>
      <c r="N73" s="13"/>
      <c r="O73" s="11">
        <v>0.1</v>
      </c>
      <c r="P73" s="11">
        <f t="shared" si="8"/>
        <v>0.1</v>
      </c>
      <c r="Q73" s="11">
        <v>2E-3</v>
      </c>
      <c r="R73" s="11">
        <f t="shared" si="9"/>
        <v>2E-3</v>
      </c>
      <c r="S73" s="11">
        <f t="shared" si="10"/>
        <v>8.0000000000000004E-4</v>
      </c>
      <c r="T73" s="11">
        <f t="shared" si="11"/>
        <v>8.0000000000000004E-4</v>
      </c>
    </row>
    <row r="74" spans="1:20" x14ac:dyDescent="0.25">
      <c r="A74" s="5">
        <v>74</v>
      </c>
      <c r="B74" s="5">
        <v>4</v>
      </c>
      <c r="C74" s="6" t="s">
        <v>311</v>
      </c>
      <c r="D74" s="7" t="s">
        <v>312</v>
      </c>
      <c r="E74" s="8" t="s">
        <v>313</v>
      </c>
      <c r="F74" s="5" t="s">
        <v>286</v>
      </c>
      <c r="G74" s="5" t="s">
        <v>314</v>
      </c>
      <c r="H74" s="42"/>
      <c r="I74" s="42"/>
      <c r="J74" s="5">
        <v>402</v>
      </c>
      <c r="K74" s="12" t="s">
        <v>281</v>
      </c>
      <c r="L74" s="12" t="s">
        <v>6</v>
      </c>
      <c r="M74" s="12">
        <v>29</v>
      </c>
      <c r="N74" s="13"/>
      <c r="O74" s="11">
        <v>0.1</v>
      </c>
      <c r="P74" s="11">
        <f t="shared" si="8"/>
        <v>0.4</v>
      </c>
      <c r="Q74" s="11">
        <v>2E-3</v>
      </c>
      <c r="R74" s="11">
        <f t="shared" si="9"/>
        <v>8.0000000000000002E-3</v>
      </c>
      <c r="S74" s="11">
        <f t="shared" si="10"/>
        <v>8.0000000000000004E-4</v>
      </c>
      <c r="T74" s="11">
        <f t="shared" si="11"/>
        <v>3.2000000000000002E-3</v>
      </c>
    </row>
    <row r="75" spans="1:20" x14ac:dyDescent="0.25">
      <c r="A75" s="5">
        <v>75</v>
      </c>
      <c r="B75" s="5">
        <v>6</v>
      </c>
      <c r="C75" s="6" t="s">
        <v>315</v>
      </c>
      <c r="D75" s="7" t="s">
        <v>316</v>
      </c>
      <c r="E75" s="8" t="s">
        <v>317</v>
      </c>
      <c r="F75" s="5" t="s">
        <v>286</v>
      </c>
      <c r="G75" s="5" t="s">
        <v>318</v>
      </c>
      <c r="H75" s="42"/>
      <c r="I75" s="42"/>
      <c r="J75" s="5">
        <v>402</v>
      </c>
      <c r="K75" s="12" t="s">
        <v>281</v>
      </c>
      <c r="L75" s="12" t="s">
        <v>6</v>
      </c>
      <c r="M75" s="12">
        <v>20</v>
      </c>
      <c r="N75" s="13"/>
      <c r="O75" s="11">
        <v>0.1</v>
      </c>
      <c r="P75" s="11">
        <f t="shared" si="8"/>
        <v>0.60000000000000009</v>
      </c>
      <c r="Q75" s="11">
        <v>2E-3</v>
      </c>
      <c r="R75" s="11">
        <f t="shared" si="9"/>
        <v>1.2E-2</v>
      </c>
      <c r="S75" s="11">
        <f t="shared" si="10"/>
        <v>8.0000000000000004E-4</v>
      </c>
      <c r="T75" s="11">
        <f t="shared" si="11"/>
        <v>4.8000000000000004E-3</v>
      </c>
    </row>
    <row r="76" spans="1:20" x14ac:dyDescent="0.25">
      <c r="A76" s="5">
        <v>76</v>
      </c>
      <c r="B76" s="5">
        <v>1</v>
      </c>
      <c r="C76" s="6" t="s">
        <v>319</v>
      </c>
      <c r="D76" s="7" t="s">
        <v>320</v>
      </c>
      <c r="E76" s="8" t="s">
        <v>321</v>
      </c>
      <c r="F76" s="5" t="s">
        <v>279</v>
      </c>
      <c r="G76" s="5" t="s">
        <v>322</v>
      </c>
      <c r="H76" s="42"/>
      <c r="I76" s="42"/>
      <c r="J76" s="5">
        <v>603</v>
      </c>
      <c r="K76" s="12" t="s">
        <v>281</v>
      </c>
      <c r="L76" s="12" t="s">
        <v>6</v>
      </c>
      <c r="M76" s="12">
        <v>24</v>
      </c>
      <c r="N76" s="13"/>
      <c r="O76" s="11">
        <v>0.1</v>
      </c>
      <c r="P76" s="11">
        <f t="shared" si="8"/>
        <v>0.1</v>
      </c>
      <c r="Q76" s="11">
        <v>5.0000000000000001E-3</v>
      </c>
      <c r="R76" s="11">
        <f t="shared" si="9"/>
        <v>5.0000000000000001E-3</v>
      </c>
      <c r="S76" s="11">
        <f t="shared" si="10"/>
        <v>2E-3</v>
      </c>
      <c r="T76" s="11">
        <f t="shared" si="11"/>
        <v>2E-3</v>
      </c>
    </row>
    <row r="77" spans="1:20" x14ac:dyDescent="0.25">
      <c r="A77" s="5">
        <v>77</v>
      </c>
      <c r="B77" s="5">
        <v>1</v>
      </c>
      <c r="C77" s="6" t="s">
        <v>323</v>
      </c>
      <c r="D77" s="7" t="s">
        <v>324</v>
      </c>
      <c r="E77" s="8" t="s">
        <v>325</v>
      </c>
      <c r="F77" s="5" t="s">
        <v>286</v>
      </c>
      <c r="G77" s="5" t="s">
        <v>326</v>
      </c>
      <c r="H77" s="42"/>
      <c r="I77" s="42"/>
      <c r="J77" s="5">
        <v>603</v>
      </c>
      <c r="K77" s="12" t="s">
        <v>281</v>
      </c>
      <c r="L77" s="12" t="s">
        <v>6</v>
      </c>
      <c r="M77" s="12">
        <v>23</v>
      </c>
      <c r="N77" s="13"/>
      <c r="O77" s="11">
        <v>0.65</v>
      </c>
      <c r="P77" s="11">
        <f t="shared" si="8"/>
        <v>0.65</v>
      </c>
      <c r="Q77" s="11">
        <v>0.129</v>
      </c>
      <c r="R77" s="11">
        <f t="shared" si="9"/>
        <v>0.129</v>
      </c>
      <c r="S77" s="11">
        <f t="shared" si="10"/>
        <v>5.1600000000000007E-2</v>
      </c>
      <c r="T77" s="11">
        <f t="shared" si="11"/>
        <v>5.1600000000000007E-2</v>
      </c>
    </row>
    <row r="78" spans="1:20" x14ac:dyDescent="0.25">
      <c r="A78" s="5">
        <v>78</v>
      </c>
      <c r="B78" s="5">
        <v>2</v>
      </c>
      <c r="C78" s="6" t="s">
        <v>327</v>
      </c>
      <c r="D78" s="7" t="s">
        <v>328</v>
      </c>
      <c r="E78" s="8" t="s">
        <v>329</v>
      </c>
      <c r="F78" s="5" t="s">
        <v>330</v>
      </c>
      <c r="G78" s="5" t="s">
        <v>331</v>
      </c>
      <c r="H78" s="42"/>
      <c r="I78" s="42"/>
      <c r="J78" s="5">
        <v>603</v>
      </c>
      <c r="K78" s="12" t="s">
        <v>281</v>
      </c>
      <c r="L78" s="12" t="s">
        <v>6</v>
      </c>
      <c r="M78" s="12">
        <v>14</v>
      </c>
      <c r="N78" s="13" t="s">
        <v>332</v>
      </c>
      <c r="O78" s="11">
        <v>0.1</v>
      </c>
      <c r="P78" s="11">
        <f t="shared" si="8"/>
        <v>0.2</v>
      </c>
      <c r="Q78" s="11">
        <v>1.0999999999999999E-2</v>
      </c>
      <c r="R78" s="11">
        <f t="shared" si="9"/>
        <v>2.1999999999999999E-2</v>
      </c>
      <c r="S78" s="11">
        <f t="shared" si="10"/>
        <v>4.4000000000000003E-3</v>
      </c>
      <c r="T78" s="11">
        <f t="shared" si="11"/>
        <v>8.8000000000000005E-3</v>
      </c>
    </row>
    <row r="79" spans="1:20" x14ac:dyDescent="0.25">
      <c r="A79" s="5">
        <v>79</v>
      </c>
      <c r="B79" s="5">
        <v>7</v>
      </c>
      <c r="C79" s="6" t="s">
        <v>333</v>
      </c>
      <c r="D79" s="7" t="s">
        <v>334</v>
      </c>
      <c r="E79" s="8" t="s">
        <v>335</v>
      </c>
      <c r="F79" s="5" t="s">
        <v>286</v>
      </c>
      <c r="G79" s="5" t="s">
        <v>336</v>
      </c>
      <c r="H79" s="42"/>
      <c r="I79" s="42"/>
      <c r="J79" s="5">
        <v>603</v>
      </c>
      <c r="K79" s="12" t="s">
        <v>281</v>
      </c>
      <c r="L79" s="12" t="s">
        <v>6</v>
      </c>
      <c r="M79" s="12">
        <v>23</v>
      </c>
      <c r="N79" s="13"/>
      <c r="O79" s="11">
        <v>0.17</v>
      </c>
      <c r="P79" s="11">
        <f t="shared" si="8"/>
        <v>1.1900000000000002</v>
      </c>
      <c r="Q79" s="11">
        <v>0.02</v>
      </c>
      <c r="R79" s="11">
        <f t="shared" si="9"/>
        <v>0.14000000000000001</v>
      </c>
      <c r="S79" s="11">
        <f t="shared" si="10"/>
        <v>8.0000000000000002E-3</v>
      </c>
      <c r="T79" s="11">
        <f t="shared" si="11"/>
        <v>5.6000000000000001E-2</v>
      </c>
    </row>
    <row r="80" spans="1:20" x14ac:dyDescent="0.25">
      <c r="A80" s="5">
        <v>80</v>
      </c>
      <c r="B80" s="5">
        <v>7</v>
      </c>
      <c r="C80" s="6" t="s">
        <v>337</v>
      </c>
      <c r="D80" s="7" t="s">
        <v>338</v>
      </c>
      <c r="E80" s="8" t="s">
        <v>339</v>
      </c>
      <c r="F80" s="5" t="s">
        <v>279</v>
      </c>
      <c r="G80" s="5" t="s">
        <v>340</v>
      </c>
      <c r="H80" s="42"/>
      <c r="I80" s="42"/>
      <c r="J80" s="5">
        <v>603</v>
      </c>
      <c r="K80" s="12" t="s">
        <v>281</v>
      </c>
      <c r="L80" s="12" t="s">
        <v>6</v>
      </c>
      <c r="M80" s="12">
        <v>28</v>
      </c>
      <c r="N80" s="13"/>
      <c r="O80" s="11">
        <v>0.23</v>
      </c>
      <c r="P80" s="11">
        <f t="shared" si="8"/>
        <v>1.61</v>
      </c>
      <c r="Q80" s="11">
        <v>0.03</v>
      </c>
      <c r="R80" s="11">
        <f t="shared" si="9"/>
        <v>0.21</v>
      </c>
      <c r="S80" s="11">
        <f t="shared" si="10"/>
        <v>1.2E-2</v>
      </c>
      <c r="T80" s="11">
        <f t="shared" si="11"/>
        <v>8.4000000000000005E-2</v>
      </c>
    </row>
    <row r="81" spans="1:20" x14ac:dyDescent="0.25">
      <c r="A81" s="5">
        <v>81</v>
      </c>
      <c r="B81" s="5">
        <v>2</v>
      </c>
      <c r="C81" s="6" t="s">
        <v>341</v>
      </c>
      <c r="D81" s="7" t="s">
        <v>342</v>
      </c>
      <c r="E81" s="8" t="s">
        <v>343</v>
      </c>
      <c r="F81" s="5" t="s">
        <v>286</v>
      </c>
      <c r="G81" s="5" t="s">
        <v>344</v>
      </c>
      <c r="H81" s="42"/>
      <c r="I81" s="42"/>
      <c r="J81" s="5">
        <v>603</v>
      </c>
      <c r="K81" s="12" t="s">
        <v>281</v>
      </c>
      <c r="L81" s="12" t="s">
        <v>6</v>
      </c>
      <c r="M81" s="12">
        <v>23</v>
      </c>
      <c r="N81" s="13"/>
      <c r="O81" s="11">
        <v>0.17</v>
      </c>
      <c r="P81" s="11">
        <f t="shared" si="8"/>
        <v>0.34</v>
      </c>
      <c r="Q81" s="11">
        <v>0.02</v>
      </c>
      <c r="R81" s="11">
        <f t="shared" si="9"/>
        <v>0.04</v>
      </c>
      <c r="S81" s="11">
        <f t="shared" si="10"/>
        <v>8.0000000000000002E-3</v>
      </c>
      <c r="T81" s="11">
        <f t="shared" si="11"/>
        <v>1.6E-2</v>
      </c>
    </row>
    <row r="82" spans="1:20" x14ac:dyDescent="0.25">
      <c r="A82" s="5">
        <v>82</v>
      </c>
      <c r="B82" s="5">
        <v>1</v>
      </c>
      <c r="C82" s="6" t="s">
        <v>345</v>
      </c>
      <c r="D82" s="7" t="s">
        <v>346</v>
      </c>
      <c r="E82" s="8" t="s">
        <v>339</v>
      </c>
      <c r="F82" s="5" t="s">
        <v>279</v>
      </c>
      <c r="G82" s="5" t="s">
        <v>347</v>
      </c>
      <c r="H82" s="42"/>
      <c r="I82" s="42"/>
      <c r="J82" s="5">
        <v>603</v>
      </c>
      <c r="K82" s="12" t="s">
        <v>281</v>
      </c>
      <c r="L82" s="12" t="s">
        <v>6</v>
      </c>
      <c r="M82" s="12">
        <v>24</v>
      </c>
      <c r="N82" s="13"/>
      <c r="O82" s="11">
        <v>0.1</v>
      </c>
      <c r="P82" s="11">
        <f t="shared" si="8"/>
        <v>0.1</v>
      </c>
      <c r="Q82" s="11">
        <v>1.4999999999999999E-2</v>
      </c>
      <c r="R82" s="11">
        <f t="shared" si="9"/>
        <v>1.4999999999999999E-2</v>
      </c>
      <c r="S82" s="11">
        <f t="shared" si="10"/>
        <v>6.0000000000000001E-3</v>
      </c>
      <c r="T82" s="11">
        <f t="shared" si="11"/>
        <v>6.0000000000000001E-3</v>
      </c>
    </row>
    <row r="83" spans="1:20" x14ac:dyDescent="0.25">
      <c r="A83" s="5">
        <v>83</v>
      </c>
      <c r="B83" s="5">
        <v>6</v>
      </c>
      <c r="C83" s="6" t="s">
        <v>348</v>
      </c>
      <c r="D83" s="7" t="s">
        <v>277</v>
      </c>
      <c r="E83" s="8" t="s">
        <v>349</v>
      </c>
      <c r="F83" s="5" t="s">
        <v>279</v>
      </c>
      <c r="G83" s="5" t="s">
        <v>350</v>
      </c>
      <c r="H83" s="42"/>
      <c r="I83" s="42"/>
      <c r="J83" s="5">
        <v>603</v>
      </c>
      <c r="K83" s="12" t="s">
        <v>281</v>
      </c>
      <c r="L83" s="12" t="s">
        <v>6</v>
      </c>
      <c r="M83" s="12">
        <v>31</v>
      </c>
      <c r="N83" s="13" t="s">
        <v>351</v>
      </c>
      <c r="O83" s="11">
        <v>0.1</v>
      </c>
      <c r="P83" s="11">
        <f t="shared" si="8"/>
        <v>0.60000000000000009</v>
      </c>
      <c r="Q83" s="11">
        <v>5.0000000000000001E-3</v>
      </c>
      <c r="R83" s="11">
        <f t="shared" si="9"/>
        <v>0.03</v>
      </c>
      <c r="S83" s="11">
        <f t="shared" si="10"/>
        <v>2E-3</v>
      </c>
      <c r="T83" s="11">
        <f t="shared" si="11"/>
        <v>1.2E-2</v>
      </c>
    </row>
    <row r="84" spans="1:20" x14ac:dyDescent="0.25">
      <c r="A84" s="5">
        <v>84</v>
      </c>
      <c r="B84" s="5">
        <v>6</v>
      </c>
      <c r="C84" s="6" t="s">
        <v>352</v>
      </c>
      <c r="D84" s="7" t="s">
        <v>316</v>
      </c>
      <c r="E84" s="8" t="s">
        <v>353</v>
      </c>
      <c r="F84" s="5" t="s">
        <v>286</v>
      </c>
      <c r="G84" s="5" t="s">
        <v>354</v>
      </c>
      <c r="H84" s="42"/>
      <c r="I84" s="42"/>
      <c r="J84" s="5">
        <v>603</v>
      </c>
      <c r="K84" s="12" t="s">
        <v>281</v>
      </c>
      <c r="L84" s="12" t="s">
        <v>6</v>
      </c>
      <c r="M84" s="12">
        <v>29</v>
      </c>
      <c r="N84" s="13" t="s">
        <v>355</v>
      </c>
      <c r="O84" s="11">
        <v>0.1</v>
      </c>
      <c r="P84" s="11">
        <f t="shared" si="8"/>
        <v>0.60000000000000009</v>
      </c>
      <c r="Q84" s="11">
        <v>5.0000000000000001E-3</v>
      </c>
      <c r="R84" s="11">
        <f t="shared" si="9"/>
        <v>0.03</v>
      </c>
      <c r="S84" s="11">
        <f t="shared" si="10"/>
        <v>2E-3</v>
      </c>
      <c r="T84" s="11">
        <f t="shared" si="11"/>
        <v>1.2E-2</v>
      </c>
    </row>
    <row r="85" spans="1:20" x14ac:dyDescent="0.25">
      <c r="A85" s="5">
        <v>85</v>
      </c>
      <c r="B85" s="5">
        <v>6</v>
      </c>
      <c r="C85" s="6" t="s">
        <v>356</v>
      </c>
      <c r="D85" s="7" t="s">
        <v>277</v>
      </c>
      <c r="E85" s="8" t="s">
        <v>349</v>
      </c>
      <c r="F85" s="5" t="s">
        <v>279</v>
      </c>
      <c r="G85" s="5" t="s">
        <v>350</v>
      </c>
      <c r="H85" s="42"/>
      <c r="I85" s="42"/>
      <c r="J85" s="5">
        <v>603</v>
      </c>
      <c r="K85" s="12" t="s">
        <v>281</v>
      </c>
      <c r="L85" s="12" t="s">
        <v>6</v>
      </c>
      <c r="M85" s="12">
        <v>31</v>
      </c>
      <c r="N85" s="13" t="s">
        <v>357</v>
      </c>
      <c r="O85" s="11">
        <v>0.1</v>
      </c>
      <c r="P85" s="11">
        <f t="shared" si="8"/>
        <v>0.60000000000000009</v>
      </c>
      <c r="Q85" s="11">
        <v>0.05</v>
      </c>
      <c r="R85" s="11">
        <f t="shared" si="9"/>
        <v>0.30000000000000004</v>
      </c>
      <c r="S85" s="11">
        <f t="shared" si="10"/>
        <v>2.0000000000000004E-2</v>
      </c>
      <c r="T85" s="11">
        <f t="shared" si="11"/>
        <v>0.12000000000000002</v>
      </c>
    </row>
    <row r="86" spans="1:20" x14ac:dyDescent="0.25">
      <c r="A86" s="5">
        <v>86</v>
      </c>
      <c r="B86" s="5">
        <v>2</v>
      </c>
      <c r="C86" s="6" t="s">
        <v>358</v>
      </c>
      <c r="D86" s="7" t="s">
        <v>359</v>
      </c>
      <c r="E86" s="8" t="s">
        <v>360</v>
      </c>
      <c r="F86" s="5" t="s">
        <v>279</v>
      </c>
      <c r="G86" s="5" t="s">
        <v>361</v>
      </c>
      <c r="H86" s="42"/>
      <c r="I86" s="42"/>
      <c r="J86" s="5">
        <v>603</v>
      </c>
      <c r="K86" s="12" t="s">
        <v>281</v>
      </c>
      <c r="L86" s="12" t="s">
        <v>6</v>
      </c>
      <c r="M86" s="12">
        <v>31</v>
      </c>
      <c r="N86" s="13"/>
      <c r="O86" s="11">
        <v>0.1</v>
      </c>
      <c r="P86" s="11">
        <f t="shared" si="8"/>
        <v>0.2</v>
      </c>
      <c r="Q86" s="11">
        <v>0.05</v>
      </c>
      <c r="R86" s="11">
        <f t="shared" si="9"/>
        <v>0.1</v>
      </c>
      <c r="S86" s="11">
        <f t="shared" si="10"/>
        <v>2.0000000000000004E-2</v>
      </c>
      <c r="T86" s="11">
        <f t="shared" si="11"/>
        <v>4.0000000000000008E-2</v>
      </c>
    </row>
    <row r="87" spans="1:20" x14ac:dyDescent="0.25">
      <c r="A87" s="5">
        <v>87</v>
      </c>
      <c r="B87" s="5">
        <v>2</v>
      </c>
      <c r="C87" s="6" t="s">
        <v>362</v>
      </c>
      <c r="D87" s="7" t="s">
        <v>363</v>
      </c>
      <c r="E87" s="8" t="s">
        <v>364</v>
      </c>
      <c r="F87" s="5" t="s">
        <v>279</v>
      </c>
      <c r="G87" s="5" t="s">
        <v>365</v>
      </c>
      <c r="H87" s="42"/>
      <c r="I87" s="42"/>
      <c r="J87" s="5">
        <v>603</v>
      </c>
      <c r="K87" s="12" t="s">
        <v>281</v>
      </c>
      <c r="L87" s="12" t="s">
        <v>6</v>
      </c>
      <c r="M87" s="12">
        <v>31</v>
      </c>
      <c r="N87" s="13"/>
      <c r="O87" s="11">
        <v>0.1</v>
      </c>
      <c r="P87" s="11">
        <f t="shared" si="8"/>
        <v>0.2</v>
      </c>
      <c r="Q87" s="11">
        <v>0.05</v>
      </c>
      <c r="R87" s="11">
        <f t="shared" si="9"/>
        <v>0.1</v>
      </c>
      <c r="S87" s="11">
        <f t="shared" si="10"/>
        <v>2.0000000000000004E-2</v>
      </c>
      <c r="T87" s="11">
        <f t="shared" ref="T87:T117" si="12">S87*B87</f>
        <v>4.0000000000000008E-2</v>
      </c>
    </row>
    <row r="88" spans="1:20" ht="30" x14ac:dyDescent="0.25">
      <c r="A88" s="5">
        <v>88</v>
      </c>
      <c r="B88" s="5">
        <v>14</v>
      </c>
      <c r="C88" s="6" t="s">
        <v>366</v>
      </c>
      <c r="D88" s="7" t="s">
        <v>294</v>
      </c>
      <c r="E88" s="8" t="s">
        <v>367</v>
      </c>
      <c r="F88" s="5" t="s">
        <v>300</v>
      </c>
      <c r="G88" s="5" t="s">
        <v>368</v>
      </c>
      <c r="H88" s="42"/>
      <c r="I88" s="42"/>
      <c r="J88" s="5">
        <v>402</v>
      </c>
      <c r="K88" s="12" t="s">
        <v>281</v>
      </c>
      <c r="L88" s="12" t="s">
        <v>6</v>
      </c>
      <c r="M88" s="12">
        <v>16</v>
      </c>
      <c r="N88" s="13"/>
      <c r="O88" s="11">
        <v>0.1</v>
      </c>
      <c r="P88" s="11">
        <f t="shared" si="8"/>
        <v>1.4000000000000001</v>
      </c>
      <c r="Q88" s="11">
        <v>0.05</v>
      </c>
      <c r="R88" s="11">
        <f t="shared" si="9"/>
        <v>0.70000000000000007</v>
      </c>
      <c r="S88" s="11">
        <f t="shared" si="10"/>
        <v>2.0000000000000004E-2</v>
      </c>
      <c r="T88" s="11">
        <f t="shared" si="12"/>
        <v>0.28000000000000003</v>
      </c>
    </row>
    <row r="89" spans="1:20" ht="30" x14ac:dyDescent="0.25">
      <c r="A89" s="5">
        <v>89</v>
      </c>
      <c r="B89" s="5">
        <v>8</v>
      </c>
      <c r="C89" s="6" t="s">
        <v>369</v>
      </c>
      <c r="D89" s="7" t="s">
        <v>277</v>
      </c>
      <c r="E89" s="8" t="s">
        <v>370</v>
      </c>
      <c r="F89" s="5" t="s">
        <v>286</v>
      </c>
      <c r="G89" s="5" t="s">
        <v>371</v>
      </c>
      <c r="H89" s="42"/>
      <c r="I89" s="42"/>
      <c r="J89" s="5">
        <v>402</v>
      </c>
      <c r="K89" s="12" t="s">
        <v>281</v>
      </c>
      <c r="L89" s="12" t="s">
        <v>6</v>
      </c>
      <c r="M89" s="12">
        <v>29</v>
      </c>
      <c r="N89" s="13" t="s">
        <v>372</v>
      </c>
      <c r="O89" s="11">
        <v>0.1</v>
      </c>
      <c r="P89" s="11">
        <f t="shared" si="8"/>
        <v>0.8</v>
      </c>
      <c r="Q89" s="11">
        <v>0.05</v>
      </c>
      <c r="R89" s="11">
        <f t="shared" si="9"/>
        <v>0.4</v>
      </c>
      <c r="S89" s="11">
        <f t="shared" si="10"/>
        <v>2.0000000000000004E-2</v>
      </c>
      <c r="T89" s="11">
        <f t="shared" si="12"/>
        <v>0.16000000000000003</v>
      </c>
    </row>
    <row r="90" spans="1:20" x14ac:dyDescent="0.25">
      <c r="A90" s="5">
        <v>90</v>
      </c>
      <c r="B90" s="5">
        <v>2</v>
      </c>
      <c r="C90" s="6" t="s">
        <v>373</v>
      </c>
      <c r="D90" s="7" t="s">
        <v>374</v>
      </c>
      <c r="E90" s="8" t="s">
        <v>375</v>
      </c>
      <c r="F90" s="5" t="s">
        <v>286</v>
      </c>
      <c r="G90" s="5" t="s">
        <v>376</v>
      </c>
      <c r="H90" s="42"/>
      <c r="I90" s="42"/>
      <c r="J90" s="5">
        <v>603</v>
      </c>
      <c r="K90" s="12" t="s">
        <v>281</v>
      </c>
      <c r="L90" s="12" t="s">
        <v>6</v>
      </c>
      <c r="M90" s="12">
        <v>29</v>
      </c>
      <c r="N90" s="13"/>
      <c r="O90" s="11">
        <v>0.1</v>
      </c>
      <c r="P90" s="11">
        <f t="shared" si="8"/>
        <v>0.2</v>
      </c>
      <c r="Q90" s="11">
        <v>0.05</v>
      </c>
      <c r="R90" s="11">
        <f t="shared" si="9"/>
        <v>0.1</v>
      </c>
      <c r="S90" s="11">
        <f t="shared" si="10"/>
        <v>2.0000000000000004E-2</v>
      </c>
      <c r="T90" s="11">
        <f t="shared" si="12"/>
        <v>4.0000000000000008E-2</v>
      </c>
    </row>
    <row r="91" spans="1:20" x14ac:dyDescent="0.25">
      <c r="A91" s="5">
        <v>91</v>
      </c>
      <c r="B91" s="5">
        <v>11</v>
      </c>
      <c r="C91" s="6" t="s">
        <v>377</v>
      </c>
      <c r="D91" s="7" t="s">
        <v>277</v>
      </c>
      <c r="E91" s="8" t="s">
        <v>378</v>
      </c>
      <c r="F91" s="5" t="s">
        <v>286</v>
      </c>
      <c r="G91" s="5" t="s">
        <v>379</v>
      </c>
      <c r="H91" s="42"/>
      <c r="I91" s="42"/>
      <c r="J91" s="5">
        <v>1206</v>
      </c>
      <c r="K91" s="12" t="s">
        <v>281</v>
      </c>
      <c r="L91" s="12" t="s">
        <v>6</v>
      </c>
      <c r="M91" s="12">
        <v>29</v>
      </c>
      <c r="N91" s="13"/>
      <c r="O91" s="11">
        <v>0.1</v>
      </c>
      <c r="P91" s="11">
        <f t="shared" si="8"/>
        <v>1.1000000000000001</v>
      </c>
      <c r="Q91" s="11">
        <v>0.05</v>
      </c>
      <c r="R91" s="11">
        <f t="shared" si="9"/>
        <v>0.55000000000000004</v>
      </c>
      <c r="S91" s="11">
        <f t="shared" si="10"/>
        <v>2.0000000000000004E-2</v>
      </c>
      <c r="T91" s="11">
        <f t="shared" si="12"/>
        <v>0.22000000000000003</v>
      </c>
    </row>
    <row r="92" spans="1:20" x14ac:dyDescent="0.25">
      <c r="A92" s="5">
        <v>92</v>
      </c>
      <c r="B92" s="5">
        <v>1</v>
      </c>
      <c r="C92" s="6" t="s">
        <v>380</v>
      </c>
      <c r="D92" s="7" t="s">
        <v>381</v>
      </c>
      <c r="E92" s="8" t="s">
        <v>382</v>
      </c>
      <c r="F92" s="5" t="s">
        <v>185</v>
      </c>
      <c r="G92" s="5" t="s">
        <v>383</v>
      </c>
      <c r="H92" s="42" t="s">
        <v>535</v>
      </c>
      <c r="I92" s="42" t="s">
        <v>531</v>
      </c>
      <c r="J92" s="5" t="s">
        <v>384</v>
      </c>
      <c r="K92" s="12" t="s">
        <v>181</v>
      </c>
      <c r="L92" s="12" t="s">
        <v>22</v>
      </c>
      <c r="M92" s="12">
        <v>17</v>
      </c>
      <c r="N92" s="13"/>
      <c r="O92" s="11">
        <v>6.53</v>
      </c>
      <c r="P92" s="11">
        <f t="shared" si="8"/>
        <v>6.53</v>
      </c>
      <c r="Q92" s="11">
        <v>3.72</v>
      </c>
      <c r="R92" s="11">
        <f t="shared" si="9"/>
        <v>3.72</v>
      </c>
      <c r="S92" s="11">
        <f t="shared" si="10"/>
        <v>1.4880000000000002</v>
      </c>
      <c r="T92" s="11">
        <f t="shared" si="12"/>
        <v>1.4880000000000002</v>
      </c>
    </row>
    <row r="93" spans="1:20" x14ac:dyDescent="0.25">
      <c r="A93" s="5">
        <v>93</v>
      </c>
      <c r="B93" s="5">
        <v>1</v>
      </c>
      <c r="C93" s="6" t="s">
        <v>385</v>
      </c>
      <c r="D93" s="7" t="s">
        <v>386</v>
      </c>
      <c r="E93" s="8" t="s">
        <v>387</v>
      </c>
      <c r="F93" s="5" t="s">
        <v>388</v>
      </c>
      <c r="G93" s="5" t="s">
        <v>386</v>
      </c>
      <c r="H93" s="42" t="s">
        <v>506</v>
      </c>
      <c r="I93" s="42" t="s">
        <v>512</v>
      </c>
      <c r="J93" s="5" t="s">
        <v>389</v>
      </c>
      <c r="K93" s="12" t="s">
        <v>390</v>
      </c>
      <c r="L93" s="12" t="s">
        <v>6</v>
      </c>
      <c r="M93" s="12">
        <v>22</v>
      </c>
      <c r="N93" s="13"/>
      <c r="O93" s="11">
        <v>0.56000000000000005</v>
      </c>
      <c r="P93" s="11">
        <f t="shared" si="8"/>
        <v>0.56000000000000005</v>
      </c>
      <c r="Q93" s="11">
        <v>0.19</v>
      </c>
      <c r="R93" s="11">
        <f t="shared" si="9"/>
        <v>0.19</v>
      </c>
      <c r="S93" s="11">
        <f t="shared" si="10"/>
        <v>7.6000000000000012E-2</v>
      </c>
      <c r="T93" s="11">
        <f t="shared" si="12"/>
        <v>7.6000000000000012E-2</v>
      </c>
    </row>
    <row r="94" spans="1:20" x14ac:dyDescent="0.25">
      <c r="A94" s="5">
        <v>94</v>
      </c>
      <c r="B94" s="5">
        <v>1</v>
      </c>
      <c r="C94" s="6" t="s">
        <v>391</v>
      </c>
      <c r="D94" s="7" t="s">
        <v>392</v>
      </c>
      <c r="E94" s="8" t="s">
        <v>393</v>
      </c>
      <c r="F94" s="5" t="s">
        <v>394</v>
      </c>
      <c r="G94" s="5" t="s">
        <v>392</v>
      </c>
      <c r="H94" s="42" t="s">
        <v>508</v>
      </c>
      <c r="I94" s="42" t="s">
        <v>529</v>
      </c>
      <c r="J94" s="5" t="s">
        <v>395</v>
      </c>
      <c r="K94" s="12" t="s">
        <v>390</v>
      </c>
      <c r="L94" s="12" t="s">
        <v>22</v>
      </c>
      <c r="M94" s="12">
        <v>52</v>
      </c>
      <c r="N94" s="13"/>
      <c r="O94" s="11">
        <v>2.52</v>
      </c>
      <c r="P94" s="11">
        <f t="shared" si="8"/>
        <v>2.52</v>
      </c>
      <c r="Q94" s="11">
        <v>1.91</v>
      </c>
      <c r="R94" s="11">
        <f t="shared" si="9"/>
        <v>1.91</v>
      </c>
      <c r="S94" s="11">
        <f t="shared" si="10"/>
        <v>0.76400000000000001</v>
      </c>
      <c r="T94" s="11">
        <f t="shared" si="12"/>
        <v>0.76400000000000001</v>
      </c>
    </row>
    <row r="95" spans="1:20" x14ac:dyDescent="0.25">
      <c r="A95" s="5">
        <v>95</v>
      </c>
      <c r="B95" s="5">
        <v>1</v>
      </c>
      <c r="C95" s="6" t="s">
        <v>396</v>
      </c>
      <c r="D95" s="7" t="s">
        <v>397</v>
      </c>
      <c r="E95" s="8" t="s">
        <v>398</v>
      </c>
      <c r="F95" s="5" t="s">
        <v>399</v>
      </c>
      <c r="G95" s="5" t="s">
        <v>400</v>
      </c>
      <c r="H95" s="42" t="s">
        <v>541</v>
      </c>
      <c r="I95" s="42" t="s">
        <v>530</v>
      </c>
      <c r="J95" s="5" t="s">
        <v>401</v>
      </c>
      <c r="K95" s="12" t="s">
        <v>390</v>
      </c>
      <c r="L95" s="12" t="s">
        <v>22</v>
      </c>
      <c r="M95" s="12">
        <v>38</v>
      </c>
      <c r="N95" s="13"/>
      <c r="O95" s="11">
        <v>11.82</v>
      </c>
      <c r="P95" s="11">
        <f t="shared" si="8"/>
        <v>11.82</v>
      </c>
      <c r="Q95" s="11">
        <v>7.6</v>
      </c>
      <c r="R95" s="11">
        <f t="shared" si="9"/>
        <v>7.6</v>
      </c>
      <c r="S95" s="11">
        <f t="shared" si="10"/>
        <v>3.04</v>
      </c>
      <c r="T95" s="11">
        <f t="shared" si="12"/>
        <v>3.04</v>
      </c>
    </row>
    <row r="96" spans="1:20" x14ac:dyDescent="0.25">
      <c r="A96" s="5">
        <v>96</v>
      </c>
      <c r="B96" s="5">
        <v>1</v>
      </c>
      <c r="C96" s="6" t="s">
        <v>402</v>
      </c>
      <c r="D96" s="7" t="s">
        <v>403</v>
      </c>
      <c r="E96" s="8" t="s">
        <v>404</v>
      </c>
      <c r="F96" s="5" t="s">
        <v>405</v>
      </c>
      <c r="G96" s="5" t="s">
        <v>403</v>
      </c>
      <c r="H96" s="42"/>
      <c r="I96" s="42"/>
      <c r="J96" s="5" t="s">
        <v>406</v>
      </c>
      <c r="K96" s="12" t="s">
        <v>390</v>
      </c>
      <c r="L96" s="12" t="s">
        <v>22</v>
      </c>
      <c r="M96" s="12">
        <v>26</v>
      </c>
      <c r="N96" s="13"/>
      <c r="O96" s="11">
        <v>2.93</v>
      </c>
      <c r="P96" s="11">
        <f t="shared" si="8"/>
        <v>2.93</v>
      </c>
      <c r="Q96" s="11">
        <v>1.46</v>
      </c>
      <c r="R96" s="11">
        <f t="shared" si="9"/>
        <v>1.46</v>
      </c>
      <c r="S96" s="11">
        <f t="shared" si="10"/>
        <v>0.58399999999999996</v>
      </c>
      <c r="T96" s="11">
        <f t="shared" si="12"/>
        <v>0.58399999999999996</v>
      </c>
    </row>
    <row r="97" spans="1:20" s="25" customFormat="1" x14ac:dyDescent="0.25">
      <c r="A97" s="16">
        <v>97</v>
      </c>
      <c r="B97" s="16">
        <v>1</v>
      </c>
      <c r="C97" s="15" t="s">
        <v>407</v>
      </c>
      <c r="D97" s="26" t="s">
        <v>222</v>
      </c>
      <c r="E97" s="19" t="s">
        <v>222</v>
      </c>
      <c r="F97" s="20" t="s">
        <v>222</v>
      </c>
      <c r="G97" s="20" t="s">
        <v>222</v>
      </c>
      <c r="H97" s="44"/>
      <c r="I97" s="44"/>
      <c r="J97" s="20" t="s">
        <v>222</v>
      </c>
      <c r="K97" s="21" t="s">
        <v>222</v>
      </c>
      <c r="L97" s="22"/>
      <c r="M97" s="22"/>
      <c r="N97" s="23"/>
      <c r="O97" s="24"/>
      <c r="P97" s="24"/>
      <c r="Q97" s="24"/>
      <c r="R97" s="24"/>
      <c r="S97" s="24">
        <v>5.45</v>
      </c>
      <c r="T97" s="24">
        <f t="shared" si="12"/>
        <v>5.45</v>
      </c>
    </row>
    <row r="98" spans="1:20" x14ac:dyDescent="0.25">
      <c r="A98" s="5">
        <v>98</v>
      </c>
      <c r="B98" s="5">
        <v>4</v>
      </c>
      <c r="C98" s="6" t="s">
        <v>408</v>
      </c>
      <c r="D98" s="7" t="s">
        <v>409</v>
      </c>
      <c r="E98" s="8" t="s">
        <v>410</v>
      </c>
      <c r="F98" s="5" t="s">
        <v>405</v>
      </c>
      <c r="G98" s="5" t="s">
        <v>409</v>
      </c>
      <c r="H98" s="42"/>
      <c r="I98" s="42"/>
      <c r="J98" s="5" t="s">
        <v>411</v>
      </c>
      <c r="K98" s="12" t="s">
        <v>390</v>
      </c>
      <c r="L98" s="12" t="s">
        <v>22</v>
      </c>
      <c r="M98" s="12">
        <v>27</v>
      </c>
      <c r="N98" s="13"/>
      <c r="O98" s="11">
        <v>0.62</v>
      </c>
      <c r="P98" s="11">
        <f t="shared" ref="P98:P117" si="13">O98*B98</f>
        <v>2.48</v>
      </c>
      <c r="Q98" s="11">
        <v>0.26</v>
      </c>
      <c r="R98" s="11">
        <f t="shared" ref="R98:R117" si="14">Q98*B98</f>
        <v>1.04</v>
      </c>
      <c r="S98" s="11">
        <f>Q98*0.4</f>
        <v>0.10400000000000001</v>
      </c>
      <c r="T98" s="11">
        <f t="shared" si="12"/>
        <v>0.41600000000000004</v>
      </c>
    </row>
    <row r="99" spans="1:20" x14ac:dyDescent="0.25">
      <c r="A99" s="5">
        <v>99</v>
      </c>
      <c r="B99" s="5">
        <v>1</v>
      </c>
      <c r="C99" s="6" t="s">
        <v>412</v>
      </c>
      <c r="D99" s="7" t="s">
        <v>413</v>
      </c>
      <c r="E99" s="8" t="s">
        <v>414</v>
      </c>
      <c r="F99" s="5" t="s">
        <v>405</v>
      </c>
      <c r="G99" s="5" t="s">
        <v>413</v>
      </c>
      <c r="H99" s="42"/>
      <c r="I99" s="42"/>
      <c r="J99" s="5" t="s">
        <v>415</v>
      </c>
      <c r="K99" s="12" t="s">
        <v>390</v>
      </c>
      <c r="L99" s="12" t="s">
        <v>6</v>
      </c>
      <c r="M99" s="12">
        <v>8</v>
      </c>
      <c r="N99" s="13"/>
      <c r="O99" s="11">
        <v>1.82</v>
      </c>
      <c r="P99" s="11">
        <f t="shared" si="13"/>
        <v>1.82</v>
      </c>
      <c r="Q99" s="11">
        <v>0.83199999999999996</v>
      </c>
      <c r="R99" s="11">
        <f t="shared" si="14"/>
        <v>0.83199999999999996</v>
      </c>
      <c r="S99" s="11">
        <f>Q99*0.4</f>
        <v>0.33279999999999998</v>
      </c>
      <c r="T99" s="11">
        <f t="shared" si="12"/>
        <v>0.33279999999999998</v>
      </c>
    </row>
    <row r="100" spans="1:20" x14ac:dyDescent="0.25">
      <c r="A100" s="5">
        <v>100</v>
      </c>
      <c r="B100" s="5">
        <v>1</v>
      </c>
      <c r="C100" s="6" t="s">
        <v>416</v>
      </c>
      <c r="D100" s="7" t="s">
        <v>417</v>
      </c>
      <c r="E100" s="8" t="s">
        <v>418</v>
      </c>
      <c r="F100" s="5" t="s">
        <v>405</v>
      </c>
      <c r="G100" s="5" t="s">
        <v>417</v>
      </c>
      <c r="H100" s="42" t="s">
        <v>538</v>
      </c>
      <c r="I100" s="42" t="s">
        <v>539</v>
      </c>
      <c r="J100" s="5" t="s">
        <v>419</v>
      </c>
      <c r="K100" s="12" t="s">
        <v>390</v>
      </c>
      <c r="L100" s="12" t="s">
        <v>22</v>
      </c>
      <c r="M100" s="12">
        <v>43</v>
      </c>
      <c r="N100" s="13"/>
      <c r="O100" s="11">
        <v>0.42</v>
      </c>
      <c r="P100" s="11">
        <f t="shared" si="13"/>
        <v>0.42</v>
      </c>
      <c r="Q100" s="11">
        <v>0.21</v>
      </c>
      <c r="R100" s="11">
        <f t="shared" si="14"/>
        <v>0.21</v>
      </c>
      <c r="S100" s="11">
        <f>Q100*0.4</f>
        <v>8.4000000000000005E-2</v>
      </c>
      <c r="T100" s="11">
        <f t="shared" si="12"/>
        <v>8.4000000000000005E-2</v>
      </c>
    </row>
    <row r="101" spans="1:20" x14ac:dyDescent="0.25">
      <c r="A101" s="5">
        <v>101</v>
      </c>
      <c r="B101" s="5">
        <v>1</v>
      </c>
      <c r="C101" s="6" t="s">
        <v>420</v>
      </c>
      <c r="D101" s="7" t="s">
        <v>421</v>
      </c>
      <c r="E101" s="8" t="s">
        <v>422</v>
      </c>
      <c r="F101" s="5" t="s">
        <v>423</v>
      </c>
      <c r="G101" s="5" t="s">
        <v>421</v>
      </c>
      <c r="H101" s="42"/>
      <c r="I101" s="42"/>
      <c r="J101" s="5" t="s">
        <v>424</v>
      </c>
      <c r="K101" s="12" t="s">
        <v>390</v>
      </c>
      <c r="L101" s="12" t="s">
        <v>6</v>
      </c>
      <c r="M101" s="12">
        <v>10</v>
      </c>
      <c r="N101" s="13"/>
      <c r="O101" s="11">
        <v>1.1200000000000001</v>
      </c>
      <c r="P101" s="11">
        <f t="shared" si="13"/>
        <v>1.1200000000000001</v>
      </c>
      <c r="Q101" s="11">
        <v>0.47</v>
      </c>
      <c r="R101" s="11">
        <f t="shared" si="14"/>
        <v>0.47</v>
      </c>
      <c r="S101" s="11">
        <f>Q101*0.4</f>
        <v>0.188</v>
      </c>
      <c r="T101" s="11">
        <f t="shared" si="12"/>
        <v>0.188</v>
      </c>
    </row>
    <row r="102" spans="1:20" x14ac:dyDescent="0.25">
      <c r="A102" s="5">
        <v>102</v>
      </c>
      <c r="B102" s="5">
        <v>1</v>
      </c>
      <c r="C102" s="6" t="s">
        <v>425</v>
      </c>
      <c r="D102" s="7" t="s">
        <v>426</v>
      </c>
      <c r="E102" s="8" t="s">
        <v>427</v>
      </c>
      <c r="F102" s="5" t="s">
        <v>428</v>
      </c>
      <c r="G102" s="5" t="s">
        <v>429</v>
      </c>
      <c r="H102" s="42" t="s">
        <v>537</v>
      </c>
      <c r="I102" s="42" t="s">
        <v>536</v>
      </c>
      <c r="J102" s="5" t="s">
        <v>86</v>
      </c>
      <c r="K102" s="12" t="s">
        <v>390</v>
      </c>
      <c r="L102" s="12" t="s">
        <v>22</v>
      </c>
      <c r="M102" s="12" t="s">
        <v>430</v>
      </c>
      <c r="N102" s="13"/>
      <c r="O102" s="11">
        <v>26.75</v>
      </c>
      <c r="P102" s="11">
        <f t="shared" si="13"/>
        <v>26.75</v>
      </c>
      <c r="Q102" s="11">
        <v>26.75</v>
      </c>
      <c r="R102" s="11">
        <f t="shared" si="14"/>
        <v>26.75</v>
      </c>
      <c r="S102" s="11">
        <v>26.75</v>
      </c>
      <c r="T102" s="11">
        <f t="shared" si="12"/>
        <v>26.75</v>
      </c>
    </row>
    <row r="103" spans="1:20" x14ac:dyDescent="0.25">
      <c r="A103" s="5">
        <v>103</v>
      </c>
      <c r="B103" s="5">
        <v>1</v>
      </c>
      <c r="C103" s="6" t="s">
        <v>431</v>
      </c>
      <c r="D103" s="7" t="s">
        <v>432</v>
      </c>
      <c r="E103" s="8" t="s">
        <v>433</v>
      </c>
      <c r="F103" s="5" t="s">
        <v>405</v>
      </c>
      <c r="G103" s="5" t="s">
        <v>432</v>
      </c>
      <c r="H103" s="42"/>
      <c r="I103" s="42"/>
      <c r="J103" s="5" t="s">
        <v>434</v>
      </c>
      <c r="K103" s="12" t="s">
        <v>390</v>
      </c>
      <c r="L103" s="12" t="s">
        <v>6</v>
      </c>
      <c r="M103" s="12">
        <v>10</v>
      </c>
      <c r="N103" s="13"/>
      <c r="O103" s="11">
        <v>1.03</v>
      </c>
      <c r="P103" s="11">
        <f t="shared" si="13"/>
        <v>1.03</v>
      </c>
      <c r="Q103" s="11">
        <v>0.438</v>
      </c>
      <c r="R103" s="11">
        <f t="shared" si="14"/>
        <v>0.438</v>
      </c>
      <c r="S103" s="11">
        <f t="shared" ref="S103:S117" si="15">Q103*0.4</f>
        <v>0.17520000000000002</v>
      </c>
      <c r="T103" s="11">
        <f t="shared" si="12"/>
        <v>0.17520000000000002</v>
      </c>
    </row>
    <row r="104" spans="1:20" x14ac:dyDescent="0.25">
      <c r="A104" s="5">
        <v>104</v>
      </c>
      <c r="B104" s="5">
        <v>1</v>
      </c>
      <c r="C104" s="6" t="s">
        <v>435</v>
      </c>
      <c r="D104" s="7" t="s">
        <v>436</v>
      </c>
      <c r="E104" s="8" t="s">
        <v>437</v>
      </c>
      <c r="F104" s="5" t="s">
        <v>405</v>
      </c>
      <c r="G104" s="5" t="s">
        <v>436</v>
      </c>
      <c r="H104" s="42"/>
      <c r="I104" s="42"/>
      <c r="J104" s="5" t="s">
        <v>438</v>
      </c>
      <c r="K104" s="12" t="s">
        <v>390</v>
      </c>
      <c r="L104" s="12" t="s">
        <v>6</v>
      </c>
      <c r="M104" s="12">
        <v>11</v>
      </c>
      <c r="N104" s="13"/>
      <c r="O104" s="11">
        <v>0.6</v>
      </c>
      <c r="P104" s="11">
        <f t="shared" si="13"/>
        <v>0.6</v>
      </c>
      <c r="Q104" s="11">
        <v>0.25600000000000001</v>
      </c>
      <c r="R104" s="11">
        <f t="shared" si="14"/>
        <v>0.25600000000000001</v>
      </c>
      <c r="S104" s="11">
        <f t="shared" si="15"/>
        <v>0.1024</v>
      </c>
      <c r="T104" s="11">
        <f t="shared" si="12"/>
        <v>0.1024</v>
      </c>
    </row>
    <row r="105" spans="1:20" x14ac:dyDescent="0.25">
      <c r="A105" s="5">
        <v>105</v>
      </c>
      <c r="B105" s="5">
        <v>2</v>
      </c>
      <c r="C105" s="6" t="s">
        <v>439</v>
      </c>
      <c r="D105" s="7" t="s">
        <v>440</v>
      </c>
      <c r="E105" s="8" t="s">
        <v>441</v>
      </c>
      <c r="F105" s="5" t="s">
        <v>155</v>
      </c>
      <c r="G105" s="5" t="s">
        <v>440</v>
      </c>
      <c r="H105" s="42"/>
      <c r="I105" s="42"/>
      <c r="J105" s="5" t="s">
        <v>406</v>
      </c>
      <c r="K105" s="12" t="s">
        <v>390</v>
      </c>
      <c r="L105" s="12" t="s">
        <v>6</v>
      </c>
      <c r="M105" s="12">
        <v>47</v>
      </c>
      <c r="N105" s="13"/>
      <c r="O105" s="11">
        <v>0.68</v>
      </c>
      <c r="P105" s="11">
        <f t="shared" si="13"/>
        <v>1.36</v>
      </c>
      <c r="Q105" s="11">
        <v>0.28000000000000003</v>
      </c>
      <c r="R105" s="11">
        <f t="shared" si="14"/>
        <v>0.56000000000000005</v>
      </c>
      <c r="S105" s="11">
        <f t="shared" si="15"/>
        <v>0.11200000000000002</v>
      </c>
      <c r="T105" s="11">
        <f t="shared" si="12"/>
        <v>0.22400000000000003</v>
      </c>
    </row>
    <row r="106" spans="1:20" x14ac:dyDescent="0.25">
      <c r="A106" s="5">
        <v>106</v>
      </c>
      <c r="B106" s="5">
        <v>1</v>
      </c>
      <c r="C106" s="6" t="s">
        <v>442</v>
      </c>
      <c r="D106" s="7" t="s">
        <v>443</v>
      </c>
      <c r="E106" s="8" t="s">
        <v>444</v>
      </c>
      <c r="F106" s="5" t="s">
        <v>445</v>
      </c>
      <c r="G106" s="5" t="s">
        <v>446</v>
      </c>
      <c r="H106" s="42"/>
      <c r="I106" s="42"/>
      <c r="J106" s="5" t="s">
        <v>447</v>
      </c>
      <c r="K106" s="12" t="s">
        <v>390</v>
      </c>
      <c r="L106" s="12" t="s">
        <v>6</v>
      </c>
      <c r="M106" s="12">
        <v>24</v>
      </c>
      <c r="N106" s="13"/>
      <c r="O106" s="11">
        <v>0.44</v>
      </c>
      <c r="P106" s="11">
        <f t="shared" si="13"/>
        <v>0.44</v>
      </c>
      <c r="Q106" s="11">
        <v>0.16500000000000001</v>
      </c>
      <c r="R106" s="11">
        <f t="shared" si="14"/>
        <v>0.16500000000000001</v>
      </c>
      <c r="S106" s="11">
        <f t="shared" si="15"/>
        <v>6.6000000000000003E-2</v>
      </c>
      <c r="T106" s="11">
        <f t="shared" si="12"/>
        <v>6.6000000000000003E-2</v>
      </c>
    </row>
    <row r="107" spans="1:20" x14ac:dyDescent="0.25">
      <c r="A107" s="5">
        <v>107</v>
      </c>
      <c r="B107" s="5">
        <v>1</v>
      </c>
      <c r="C107" s="6" t="s">
        <v>448</v>
      </c>
      <c r="D107" s="7" t="s">
        <v>449</v>
      </c>
      <c r="E107" s="8" t="s">
        <v>450</v>
      </c>
      <c r="F107" s="5" t="s">
        <v>445</v>
      </c>
      <c r="G107" s="5" t="s">
        <v>449</v>
      </c>
      <c r="H107" s="42"/>
      <c r="I107" s="42"/>
      <c r="J107" s="5" t="s">
        <v>451</v>
      </c>
      <c r="K107" s="12" t="s">
        <v>390</v>
      </c>
      <c r="L107" s="12" t="s">
        <v>22</v>
      </c>
      <c r="M107" s="12">
        <v>28</v>
      </c>
      <c r="N107" s="13"/>
      <c r="O107" s="11">
        <v>1.49</v>
      </c>
      <c r="P107" s="11">
        <f t="shared" si="13"/>
        <v>1.49</v>
      </c>
      <c r="Q107" s="11">
        <v>0.65</v>
      </c>
      <c r="R107" s="11">
        <f t="shared" si="14"/>
        <v>0.65</v>
      </c>
      <c r="S107" s="11">
        <f t="shared" si="15"/>
        <v>0.26</v>
      </c>
      <c r="T107" s="11">
        <f t="shared" si="12"/>
        <v>0.26</v>
      </c>
    </row>
    <row r="108" spans="1:20" x14ac:dyDescent="0.25">
      <c r="A108" s="5">
        <v>108</v>
      </c>
      <c r="B108" s="5">
        <v>1</v>
      </c>
      <c r="C108" s="6" t="s">
        <v>452</v>
      </c>
      <c r="D108" s="7" t="s">
        <v>453</v>
      </c>
      <c r="E108" s="8" t="s">
        <v>454</v>
      </c>
      <c r="F108" s="5" t="s">
        <v>405</v>
      </c>
      <c r="G108" s="5" t="s">
        <v>453</v>
      </c>
      <c r="H108" s="42"/>
      <c r="I108" s="42"/>
      <c r="J108" s="5" t="s">
        <v>455</v>
      </c>
      <c r="K108" s="12" t="s">
        <v>390</v>
      </c>
      <c r="L108" s="12" t="s">
        <v>6</v>
      </c>
      <c r="M108" s="12">
        <v>47</v>
      </c>
      <c r="N108" s="13"/>
      <c r="O108" s="11">
        <v>2.34</v>
      </c>
      <c r="P108" s="11">
        <f t="shared" si="13"/>
        <v>2.34</v>
      </c>
      <c r="Q108" s="11">
        <v>1.069</v>
      </c>
      <c r="R108" s="11">
        <f t="shared" si="14"/>
        <v>1.069</v>
      </c>
      <c r="S108" s="11">
        <f t="shared" si="15"/>
        <v>0.42759999999999998</v>
      </c>
      <c r="T108" s="11">
        <f t="shared" si="12"/>
        <v>0.42759999999999998</v>
      </c>
    </row>
    <row r="109" spans="1:20" ht="60" x14ac:dyDescent="0.25">
      <c r="A109" s="5">
        <v>109</v>
      </c>
      <c r="B109" s="5">
        <v>1</v>
      </c>
      <c r="C109" s="6" t="s">
        <v>456</v>
      </c>
      <c r="D109" s="7" t="s">
        <v>457</v>
      </c>
      <c r="E109" s="8" t="s">
        <v>458</v>
      </c>
      <c r="F109" s="5" t="s">
        <v>405</v>
      </c>
      <c r="G109" s="5" t="s">
        <v>457</v>
      </c>
      <c r="H109" s="42"/>
      <c r="I109" s="42"/>
      <c r="J109" s="5" t="s">
        <v>459</v>
      </c>
      <c r="K109" s="12" t="s">
        <v>390</v>
      </c>
      <c r="L109" s="12" t="s">
        <v>6</v>
      </c>
      <c r="M109" s="12">
        <v>6</v>
      </c>
      <c r="N109" s="13"/>
      <c r="O109" s="11">
        <v>1.1599999999999999</v>
      </c>
      <c r="P109" s="11">
        <f t="shared" si="13"/>
        <v>1.1599999999999999</v>
      </c>
      <c r="Q109" s="11">
        <v>0.49</v>
      </c>
      <c r="R109" s="11">
        <f t="shared" si="14"/>
        <v>0.49</v>
      </c>
      <c r="S109" s="11">
        <f t="shared" si="15"/>
        <v>0.19600000000000001</v>
      </c>
      <c r="T109" s="11">
        <f t="shared" si="12"/>
        <v>0.19600000000000001</v>
      </c>
    </row>
    <row r="110" spans="1:20" ht="45" x14ac:dyDescent="0.25">
      <c r="A110" s="5">
        <v>110</v>
      </c>
      <c r="B110" s="5">
        <v>1</v>
      </c>
      <c r="C110" s="6" t="s">
        <v>460</v>
      </c>
      <c r="D110" s="7" t="s">
        <v>461</v>
      </c>
      <c r="E110" s="8" t="s">
        <v>462</v>
      </c>
      <c r="F110" s="5" t="s">
        <v>463</v>
      </c>
      <c r="G110" s="5" t="s">
        <v>461</v>
      </c>
      <c r="H110" s="42"/>
      <c r="I110" s="42"/>
      <c r="J110" s="5" t="s">
        <v>464</v>
      </c>
      <c r="K110" s="12" t="s">
        <v>390</v>
      </c>
      <c r="L110" s="12" t="s">
        <v>22</v>
      </c>
      <c r="M110" s="12">
        <v>28</v>
      </c>
      <c r="N110" s="13"/>
      <c r="O110" s="11">
        <v>3.87</v>
      </c>
      <c r="P110" s="11">
        <f t="shared" si="13"/>
        <v>3.87</v>
      </c>
      <c r="Q110" s="11">
        <v>1.82</v>
      </c>
      <c r="R110" s="11">
        <f t="shared" si="14"/>
        <v>1.82</v>
      </c>
      <c r="S110" s="11">
        <f t="shared" si="15"/>
        <v>0.72800000000000009</v>
      </c>
      <c r="T110" s="11">
        <f t="shared" si="12"/>
        <v>0.72800000000000009</v>
      </c>
    </row>
    <row r="111" spans="1:20" ht="45" x14ac:dyDescent="0.25">
      <c r="A111" s="5">
        <v>111</v>
      </c>
      <c r="B111" s="5">
        <v>1</v>
      </c>
      <c r="C111" s="6" t="s">
        <v>465</v>
      </c>
      <c r="D111" s="7" t="s">
        <v>466</v>
      </c>
      <c r="E111" s="8" t="s">
        <v>462</v>
      </c>
      <c r="F111" s="5" t="s">
        <v>463</v>
      </c>
      <c r="G111" s="5" t="s">
        <v>466</v>
      </c>
      <c r="H111" s="42"/>
      <c r="I111" s="42"/>
      <c r="J111" s="5" t="s">
        <v>464</v>
      </c>
      <c r="K111" s="12" t="s">
        <v>390</v>
      </c>
      <c r="L111" s="12" t="s">
        <v>22</v>
      </c>
      <c r="M111" s="12">
        <v>28</v>
      </c>
      <c r="N111" s="13"/>
      <c r="O111" s="11">
        <v>3.87</v>
      </c>
      <c r="P111" s="11">
        <f t="shared" si="13"/>
        <v>3.87</v>
      </c>
      <c r="Q111" s="11">
        <v>1.82</v>
      </c>
      <c r="R111" s="11">
        <f t="shared" si="14"/>
        <v>1.82</v>
      </c>
      <c r="S111" s="11">
        <f t="shared" si="15"/>
        <v>0.72800000000000009</v>
      </c>
      <c r="T111" s="11">
        <f t="shared" si="12"/>
        <v>0.72800000000000009</v>
      </c>
    </row>
    <row r="112" spans="1:20" ht="45" x14ac:dyDescent="0.25">
      <c r="A112" s="5">
        <v>112</v>
      </c>
      <c r="B112" s="5">
        <v>1</v>
      </c>
      <c r="C112" s="8" t="s">
        <v>467</v>
      </c>
      <c r="D112" s="7" t="s">
        <v>468</v>
      </c>
      <c r="E112" s="8" t="s">
        <v>469</v>
      </c>
      <c r="F112" s="5" t="s">
        <v>405</v>
      </c>
      <c r="G112" s="5" t="s">
        <v>468</v>
      </c>
      <c r="H112" s="42"/>
      <c r="I112" s="42"/>
      <c r="J112" s="5" t="s">
        <v>395</v>
      </c>
      <c r="K112" s="12" t="s">
        <v>390</v>
      </c>
      <c r="L112" s="12" t="s">
        <v>6</v>
      </c>
      <c r="M112" s="12">
        <v>16</v>
      </c>
      <c r="N112" s="13"/>
      <c r="O112" s="11">
        <v>2.7</v>
      </c>
      <c r="P112" s="11">
        <f t="shared" si="13"/>
        <v>2.7</v>
      </c>
      <c r="Q112" s="11">
        <v>1.35</v>
      </c>
      <c r="R112" s="11">
        <f t="shared" si="14"/>
        <v>1.35</v>
      </c>
      <c r="S112" s="11">
        <f t="shared" si="15"/>
        <v>0.54</v>
      </c>
      <c r="T112" s="11">
        <f t="shared" si="12"/>
        <v>0.54</v>
      </c>
    </row>
    <row r="113" spans="1:20" x14ac:dyDescent="0.25">
      <c r="A113" s="5">
        <v>113</v>
      </c>
      <c r="B113" s="5">
        <v>1</v>
      </c>
      <c r="C113" s="8" t="s">
        <v>470</v>
      </c>
      <c r="D113" s="7" t="s">
        <v>471</v>
      </c>
      <c r="E113" s="8" t="s">
        <v>472</v>
      </c>
      <c r="F113" s="5" t="s">
        <v>473</v>
      </c>
      <c r="G113" s="5" t="s">
        <v>471</v>
      </c>
      <c r="H113" s="42"/>
      <c r="I113" s="42"/>
      <c r="J113" s="5" t="s">
        <v>474</v>
      </c>
      <c r="K113" s="12" t="s">
        <v>390</v>
      </c>
      <c r="L113" s="12" t="s">
        <v>6</v>
      </c>
      <c r="M113" s="12">
        <v>3</v>
      </c>
      <c r="N113" s="13"/>
      <c r="O113" s="11">
        <v>0.94</v>
      </c>
      <c r="P113" s="11">
        <f t="shared" si="13"/>
        <v>0.94</v>
      </c>
      <c r="Q113" s="11">
        <v>0.41</v>
      </c>
      <c r="R113" s="11">
        <f t="shared" si="14"/>
        <v>0.41</v>
      </c>
      <c r="S113" s="11">
        <f t="shared" si="15"/>
        <v>0.16400000000000001</v>
      </c>
      <c r="T113" s="11">
        <f t="shared" si="12"/>
        <v>0.16400000000000001</v>
      </c>
    </row>
    <row r="114" spans="1:20" x14ac:dyDescent="0.25">
      <c r="A114" s="5">
        <v>114</v>
      </c>
      <c r="B114" s="5">
        <v>1</v>
      </c>
      <c r="C114" s="8" t="s">
        <v>475</v>
      </c>
      <c r="D114" s="7" t="s">
        <v>476</v>
      </c>
      <c r="E114" s="8" t="s">
        <v>477</v>
      </c>
      <c r="F114" s="5" t="s">
        <v>478</v>
      </c>
      <c r="G114" s="5" t="s">
        <v>479</v>
      </c>
      <c r="H114" s="42"/>
      <c r="I114" s="42"/>
      <c r="J114" s="5" t="s">
        <v>480</v>
      </c>
      <c r="K114" s="12" t="s">
        <v>390</v>
      </c>
      <c r="L114" s="12" t="s">
        <v>6</v>
      </c>
      <c r="M114" s="12" t="s">
        <v>11</v>
      </c>
      <c r="N114" s="13"/>
      <c r="O114" s="11">
        <v>0.56999999999999995</v>
      </c>
      <c r="P114" s="11">
        <f t="shared" si="13"/>
        <v>0.56999999999999995</v>
      </c>
      <c r="Q114" s="11">
        <v>0.38</v>
      </c>
      <c r="R114" s="11">
        <f t="shared" si="14"/>
        <v>0.38</v>
      </c>
      <c r="S114" s="11">
        <f t="shared" si="15"/>
        <v>0.15200000000000002</v>
      </c>
      <c r="T114" s="11">
        <f t="shared" si="12"/>
        <v>0.15200000000000002</v>
      </c>
    </row>
    <row r="115" spans="1:20" ht="30" x14ac:dyDescent="0.25">
      <c r="A115" s="5">
        <v>115</v>
      </c>
      <c r="B115" s="5">
        <v>3</v>
      </c>
      <c r="C115" s="8" t="s">
        <v>481</v>
      </c>
      <c r="D115" s="7" t="s">
        <v>482</v>
      </c>
      <c r="E115" s="8" t="s">
        <v>483</v>
      </c>
      <c r="F115" s="5" t="s">
        <v>484</v>
      </c>
      <c r="G115" s="5" t="s">
        <v>482</v>
      </c>
      <c r="H115" s="42"/>
      <c r="I115" s="42"/>
      <c r="J115" s="5" t="s">
        <v>485</v>
      </c>
      <c r="K115" s="12" t="s">
        <v>486</v>
      </c>
      <c r="L115" s="12" t="s">
        <v>22</v>
      </c>
      <c r="M115" s="12">
        <v>8</v>
      </c>
      <c r="N115" s="13"/>
      <c r="O115" s="11">
        <v>0.23</v>
      </c>
      <c r="P115" s="11">
        <f t="shared" si="13"/>
        <v>0.69000000000000006</v>
      </c>
      <c r="Q115" s="11">
        <v>0.158</v>
      </c>
      <c r="R115" s="11">
        <f t="shared" si="14"/>
        <v>0.47399999999999998</v>
      </c>
      <c r="S115" s="11">
        <f t="shared" si="15"/>
        <v>6.3200000000000006E-2</v>
      </c>
      <c r="T115" s="11">
        <f t="shared" si="12"/>
        <v>0.18960000000000002</v>
      </c>
    </row>
    <row r="116" spans="1:20" ht="30" x14ac:dyDescent="0.25">
      <c r="A116" s="5">
        <v>116</v>
      </c>
      <c r="B116" s="5">
        <v>2</v>
      </c>
      <c r="C116" s="8" t="s">
        <v>487</v>
      </c>
      <c r="D116" s="7" t="s">
        <v>488</v>
      </c>
      <c r="E116" s="8" t="s">
        <v>483</v>
      </c>
      <c r="F116" s="5" t="s">
        <v>484</v>
      </c>
      <c r="G116" s="5" t="s">
        <v>488</v>
      </c>
      <c r="H116" s="42"/>
      <c r="I116" s="42"/>
      <c r="J116" s="5" t="s">
        <v>485</v>
      </c>
      <c r="K116" s="12" t="s">
        <v>486</v>
      </c>
      <c r="L116" s="12" t="s">
        <v>6</v>
      </c>
      <c r="M116" s="12">
        <v>8</v>
      </c>
      <c r="N116" s="13"/>
      <c r="O116" s="11">
        <v>0.28999999999999998</v>
      </c>
      <c r="P116" s="11">
        <f t="shared" si="13"/>
        <v>0.57999999999999996</v>
      </c>
      <c r="Q116" s="11">
        <v>0.19900000000000001</v>
      </c>
      <c r="R116" s="11">
        <f t="shared" si="14"/>
        <v>0.39800000000000002</v>
      </c>
      <c r="S116" s="11">
        <f t="shared" si="15"/>
        <v>7.9600000000000004E-2</v>
      </c>
      <c r="T116" s="11">
        <f t="shared" si="12"/>
        <v>0.15920000000000001</v>
      </c>
    </row>
    <row r="117" spans="1:20" ht="30" x14ac:dyDescent="0.25">
      <c r="A117" s="5">
        <v>117</v>
      </c>
      <c r="B117" s="5">
        <v>1</v>
      </c>
      <c r="C117" s="8" t="s">
        <v>489</v>
      </c>
      <c r="D117" s="7" t="s">
        <v>490</v>
      </c>
      <c r="E117" s="8" t="s">
        <v>491</v>
      </c>
      <c r="F117" s="5" t="s">
        <v>492</v>
      </c>
      <c r="G117" s="5" t="s">
        <v>493</v>
      </c>
      <c r="H117" s="42"/>
      <c r="I117" s="42"/>
      <c r="J117" s="5">
        <v>402</v>
      </c>
      <c r="K117" s="12" t="s">
        <v>232</v>
      </c>
      <c r="L117" s="12" t="s">
        <v>6</v>
      </c>
      <c r="M117" s="12">
        <v>15</v>
      </c>
      <c r="N117" s="13"/>
      <c r="O117" s="11">
        <v>0.1</v>
      </c>
      <c r="P117" s="11">
        <f t="shared" si="13"/>
        <v>0.1</v>
      </c>
      <c r="Q117" s="11">
        <v>1.6570000000000001E-2</v>
      </c>
      <c r="R117" s="11">
        <f t="shared" si="14"/>
        <v>1.6570000000000001E-2</v>
      </c>
      <c r="S117" s="11">
        <f t="shared" si="15"/>
        <v>6.6280000000000011E-3</v>
      </c>
      <c r="T117" s="11">
        <f t="shared" si="12"/>
        <v>6.6280000000000011E-3</v>
      </c>
    </row>
    <row r="118" spans="1:20" ht="37.5" x14ac:dyDescent="0.25">
      <c r="O118" s="27" t="s">
        <v>494</v>
      </c>
      <c r="P118" s="28">
        <f>SUM(P1:P116)</f>
        <v>205.48</v>
      </c>
      <c r="Q118" s="27" t="s">
        <v>495</v>
      </c>
      <c r="R118" s="28">
        <f>SUM(R1:R116)</f>
        <v>122.95383999999996</v>
      </c>
      <c r="S118" s="27" t="s">
        <v>496</v>
      </c>
      <c r="T118" s="29">
        <f>SUM(T1:T116)</f>
        <v>70.681536000000008</v>
      </c>
    </row>
    <row r="119" spans="1:20" s="25" customFormat="1" x14ac:dyDescent="0.25">
      <c r="A119" s="30" t="s">
        <v>497</v>
      </c>
      <c r="B119" s="30"/>
      <c r="C119" s="31"/>
      <c r="D119" s="32"/>
      <c r="E119" s="31"/>
      <c r="F119" s="30"/>
      <c r="G119" s="30"/>
      <c r="H119" s="46"/>
      <c r="I119" s="46"/>
      <c r="J119" s="30"/>
      <c r="K119" s="30"/>
      <c r="L119" s="30"/>
      <c r="M119" s="30"/>
      <c r="N119" s="31"/>
      <c r="O119" s="33"/>
      <c r="P119" s="33"/>
      <c r="Q119" s="33"/>
      <c r="R119" s="33"/>
      <c r="S119" s="33"/>
      <c r="T119" s="33"/>
    </row>
    <row r="120" spans="1:20" s="25" customFormat="1" x14ac:dyDescent="0.25">
      <c r="A120" s="34">
        <v>44874</v>
      </c>
      <c r="B120" s="35" t="s">
        <v>498</v>
      </c>
      <c r="C120" s="31"/>
      <c r="D120" s="32"/>
      <c r="E120" s="31"/>
      <c r="F120" s="30"/>
      <c r="G120" s="30"/>
      <c r="H120" s="46"/>
      <c r="I120" s="46"/>
      <c r="J120" s="30"/>
      <c r="K120" s="30"/>
      <c r="L120" s="30"/>
      <c r="M120" s="30"/>
      <c r="N120" s="31"/>
      <c r="O120" s="33"/>
      <c r="P120" s="33"/>
      <c r="Q120" s="33"/>
      <c r="R120" s="33"/>
      <c r="S120" s="33"/>
      <c r="T120" s="33"/>
    </row>
  </sheetData>
  <autoFilter ref="A1:T118" xr:uid="{00000000-0009-0000-0000-000000000000}"/>
  <hyperlinks>
    <hyperlink ref="V45" r:id="rId1" xr:uid="{00000000-0004-0000-0000-000000000000}"/>
    <hyperlink ref="D56" r:id="rId2" xr:uid="{00000000-0004-0000-0000-000001000000}"/>
    <hyperlink ref="D58" r:id="rId3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"/>
  <sheetViews>
    <sheetView workbookViewId="0">
      <selection activeCell="G6" sqref="G6"/>
    </sheetView>
  </sheetViews>
  <sheetFormatPr defaultRowHeight="15" x14ac:dyDescent="0.25"/>
  <cols>
    <col min="2" max="2" width="11" bestFit="1" customWidth="1"/>
    <col min="3" max="3" width="15.7109375" bestFit="1" customWidth="1"/>
    <col min="4" max="4" width="35.28515625" customWidth="1"/>
    <col min="5" max="5" width="20.5703125" bestFit="1" customWidth="1"/>
    <col min="6" max="6" width="25.28515625" bestFit="1" customWidth="1"/>
    <col min="7" max="7" width="25.140625" customWidth="1"/>
    <col min="8" max="9" width="9.85546875" bestFit="1" customWidth="1"/>
  </cols>
  <sheetData>
    <row r="2" spans="2:9" x14ac:dyDescent="0.25">
      <c r="B2" s="37" t="s">
        <v>499</v>
      </c>
      <c r="C2" s="38" t="s">
        <v>500</v>
      </c>
      <c r="D2" s="39" t="s">
        <v>501</v>
      </c>
      <c r="E2" s="39" t="s">
        <v>502</v>
      </c>
      <c r="F2" s="39" t="s">
        <v>503</v>
      </c>
      <c r="G2" s="39" t="s">
        <v>505</v>
      </c>
      <c r="H2" s="39" t="s">
        <v>504</v>
      </c>
      <c r="I2" s="36" t="s">
        <v>507</v>
      </c>
    </row>
    <row r="3" spans="2:9" x14ac:dyDescent="0.25">
      <c r="B3" s="7" t="s">
        <v>385</v>
      </c>
      <c r="C3" s="7" t="s">
        <v>386</v>
      </c>
      <c r="D3" s="5" t="s">
        <v>387</v>
      </c>
      <c r="E3" s="5" t="s">
        <v>388</v>
      </c>
      <c r="F3" s="5" t="s">
        <v>386</v>
      </c>
      <c r="G3" s="5" t="s">
        <v>506</v>
      </c>
      <c r="H3" s="5" t="s">
        <v>389</v>
      </c>
      <c r="I3" s="5" t="s">
        <v>390</v>
      </c>
    </row>
    <row r="4" spans="2:9" x14ac:dyDescent="0.25">
      <c r="B4" s="6" t="s">
        <v>391</v>
      </c>
      <c r="C4" s="7" t="s">
        <v>392</v>
      </c>
      <c r="D4" s="8" t="s">
        <v>393</v>
      </c>
      <c r="E4" s="5" t="s">
        <v>394</v>
      </c>
      <c r="F4" s="5" t="s">
        <v>392</v>
      </c>
      <c r="G4" s="5" t="s">
        <v>508</v>
      </c>
      <c r="H4" s="5" t="s">
        <v>395</v>
      </c>
      <c r="I4" s="5" t="s">
        <v>390</v>
      </c>
    </row>
    <row r="5" spans="2:9" x14ac:dyDescent="0.25">
      <c r="B5" s="8" t="s">
        <v>475</v>
      </c>
      <c r="C5" s="7" t="s">
        <v>476</v>
      </c>
      <c r="D5" s="8" t="s">
        <v>477</v>
      </c>
      <c r="E5" s="5" t="s">
        <v>478</v>
      </c>
      <c r="F5" s="5" t="s">
        <v>479</v>
      </c>
      <c r="G5" s="5" t="s">
        <v>509</v>
      </c>
      <c r="H5" s="5" t="s">
        <v>480</v>
      </c>
      <c r="I5" s="40" t="s">
        <v>510</v>
      </c>
    </row>
    <row r="6" spans="2:9" x14ac:dyDescent="0.25">
      <c r="B6" s="6" t="s">
        <v>396</v>
      </c>
      <c r="C6" s="7" t="s">
        <v>397</v>
      </c>
      <c r="D6" s="8" t="s">
        <v>398</v>
      </c>
      <c r="E6" s="5" t="s">
        <v>399</v>
      </c>
      <c r="F6" s="5" t="s">
        <v>400</v>
      </c>
      <c r="G6" s="41" t="s">
        <v>541</v>
      </c>
      <c r="H6" s="5" t="s">
        <v>401</v>
      </c>
      <c r="I6" s="12" t="s">
        <v>390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CARRIER_BOARD_S2_V2.0</vt:lpstr>
      <vt:lpstr>New_Components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Balkrishna Dalvi</dc:creator>
  <dc:description/>
  <cp:lastModifiedBy>Basit Ali Khan</cp:lastModifiedBy>
  <cp:revision>2</cp:revision>
  <dcterms:created xsi:type="dcterms:W3CDTF">2020-12-11T14:13:55Z</dcterms:created>
  <dcterms:modified xsi:type="dcterms:W3CDTF">2023-09-21T06:20:44Z</dcterms:modified>
  <dc:language>en-US</dc:language>
</cp:coreProperties>
</file>